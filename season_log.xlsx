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s" sheetId="1" state="visible" r:id="rId1"/>
    <sheet xmlns:r="http://schemas.openxmlformats.org/officeDocument/2006/relationships" name="Seasons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Scorers" sheetId="4" state="visible" r:id="rId4"/>
    <sheet xmlns:r="http://schemas.openxmlformats.org/officeDocument/2006/relationships" name="Lineups" sheetId="5" state="visible" r:id="rId5"/>
    <sheet xmlns:r="http://schemas.openxmlformats.org/officeDocument/2006/relationships" name="Final table" sheetId="6" state="visible" r:id="rId6"/>
  </sheets>
  <definedNames>
    <definedName name="_xlnm._FilterDatabase" localSheetId="1" hidden="1">'Seasons'!$A$1:$AL$2</definedName>
    <definedName name="_xlnm._FilterDatabase" localSheetId="2" hidden="1">'Matches'!$A$1:$Y$35</definedName>
    <definedName name="_xlnm._FilterDatabase" localSheetId="3" hidden="1">'Scorers'!$A$1:$J$25</definedName>
    <definedName name="_xlnm._FilterDatabase" localSheetId="4" hidden="1">'Lineups'!$A$1:$K$12</definedName>
    <definedName name="_xlnm._FilterDatabase" localSheetId="5" hidden="1">'Final table'!$A$1:$L$19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2F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Season results log: insights</t>
        </is>
      </c>
    </row>
    <row r="2">
      <c r="A2" t="inlineStr">
        <is>
          <t>Every figure is a live formula over the 'Seasons' sheet, so it updates as new seasons are added.</t>
        </is>
      </c>
    </row>
    <row r="4">
      <c r="A4" s="2" t="inlineStr">
        <is>
          <t>Seasons logged</t>
        </is>
      </c>
      <c r="B4" s="3">
        <f>COUNTA(Seasons!$A:$A)-1</f>
        <v/>
      </c>
    </row>
    <row r="5">
      <c r="A5" s="2" t="inlineStr">
        <is>
          <t>Average final position</t>
        </is>
      </c>
      <c r="B5" s="3">
        <f>IFERROR(AVERAGE(Seasons!$F:$F),"")</f>
        <v/>
      </c>
    </row>
    <row r="6">
      <c r="A6" s="2" t="inlineStr">
        <is>
          <t>Titles won</t>
        </is>
      </c>
      <c r="B6" s="3">
        <f>COUNTIF(Seasons!$G:$G,"Yes")</f>
        <v/>
      </c>
    </row>
    <row r="7">
      <c r="A7" s="2" t="inlineStr">
        <is>
          <t>Average points</t>
        </is>
      </c>
      <c r="B7" s="3">
        <f>IFERROR(AVERAGE(Seasons!$H:$H),"")</f>
        <v/>
      </c>
    </row>
    <row r="8">
      <c r="A8" s="2" t="inlineStr">
        <is>
          <t>Average goals scored / against</t>
        </is>
      </c>
      <c r="B8" s="3">
        <f>IFERROR(ROUND(AVERAGE(Seasons!$M:$M),1)&amp;" / "&amp;ROUND(AVERAGE(Seasons!$N:$N),1),"")</f>
        <v/>
      </c>
    </row>
    <row r="10">
      <c r="A10" s="4" t="inlineStr">
        <is>
          <t>By main style of play</t>
        </is>
      </c>
    </row>
    <row r="11">
      <c r="A11" s="5" t="inlineStr">
        <is>
          <t>Main style of play</t>
        </is>
      </c>
      <c r="B11" s="5" t="inlineStr">
        <is>
          <t>Seasons</t>
        </is>
      </c>
      <c r="C11" s="5" t="inlineStr">
        <is>
          <t>Avg points</t>
        </is>
      </c>
      <c r="D11" s="5" t="inlineStr">
        <is>
          <t>Avg position</t>
        </is>
      </c>
      <c r="E11" s="5" t="inlineStr">
        <is>
          <t>Best finish</t>
        </is>
      </c>
      <c r="F11" s="5" t="inlineStr">
        <is>
          <t>Titles</t>
        </is>
      </c>
      <c r="G11" s="5" t="inlineStr">
        <is>
          <t>Avg GF</t>
        </is>
      </c>
      <c r="H11" s="5" t="inlineStr">
        <is>
          <t>Avg GA</t>
        </is>
      </c>
    </row>
    <row r="12">
      <c r="A12" t="inlineStr">
        <is>
          <t>Balanced</t>
        </is>
      </c>
      <c r="B12">
        <f>COUNTIF(Seasons!$S:$S,$A12)</f>
        <v/>
      </c>
      <c r="C12">
        <f>IFERROR(ROUND(AVERAGEIF(Seasons!$S:$S,$A12,Seasons!$H:$H),1),"")</f>
        <v/>
      </c>
      <c r="D12">
        <f>IFERROR(ROUND(AVERAGEIF(Seasons!$S:$S,$A12,Seasons!$F:$F),1),"")</f>
        <v/>
      </c>
      <c r="E12">
        <f>IF(B12=0,"",_xlfn.MINIFS(Seasons!$F:$F,Seasons!$S:$S,$A12))</f>
        <v/>
      </c>
      <c r="F12">
        <f>COUNTIFS(Seasons!$S:$S,$A12,Seasons!$G:$G,"Yes")</f>
        <v/>
      </c>
      <c r="G12">
        <f>IFERROR(ROUND(AVERAGEIF(Seasons!$S:$S,$A12,Seasons!$M:$M),1),"")</f>
        <v/>
      </c>
      <c r="H12">
        <f>IFERROR(ROUND(AVERAGEIF(Seasons!$S:$S,$A12,Seasons!$N:$N),1),"")</f>
        <v/>
      </c>
    </row>
    <row r="13">
      <c r="A13" t="inlineStr">
        <is>
          <t>Gegenpress</t>
        </is>
      </c>
      <c r="B13">
        <f>COUNTIF(Seasons!$S:$S,$A13)</f>
        <v/>
      </c>
      <c r="C13">
        <f>IFERROR(ROUND(AVERAGEIF(Seasons!$S:$S,$A13,Seasons!$H:$H),1),"")</f>
        <v/>
      </c>
      <c r="D13">
        <f>IFERROR(ROUND(AVERAGEIF(Seasons!$S:$S,$A13,Seasons!$F:$F),1),"")</f>
        <v/>
      </c>
      <c r="E13">
        <f>IF(B13=0,"",_xlfn.MINIFS(Seasons!$F:$F,Seasons!$S:$S,$A13))</f>
        <v/>
      </c>
      <c r="F13">
        <f>COUNTIFS(Seasons!$S:$S,$A13,Seasons!$G:$G,"Yes")</f>
        <v/>
      </c>
      <c r="G13">
        <f>IFERROR(ROUND(AVERAGEIF(Seasons!$S:$S,$A13,Seasons!$M:$M),1),"")</f>
        <v/>
      </c>
      <c r="H13">
        <f>IFERROR(ROUND(AVERAGEIF(Seasons!$S:$S,$A13,Seasons!$N:$N),1),"")</f>
        <v/>
      </c>
    </row>
    <row r="14">
      <c r="A14" t="inlineStr">
        <is>
          <t>Tiki-taka</t>
        </is>
      </c>
      <c r="B14">
        <f>COUNTIF(Seasons!$S:$S,$A14)</f>
        <v/>
      </c>
      <c r="C14">
        <f>IFERROR(ROUND(AVERAGEIF(Seasons!$S:$S,$A14,Seasons!$H:$H),1),"")</f>
        <v/>
      </c>
      <c r="D14">
        <f>IFERROR(ROUND(AVERAGEIF(Seasons!$S:$S,$A14,Seasons!$F:$F),1),"")</f>
        <v/>
      </c>
      <c r="E14">
        <f>IF(B14=0,"",_xlfn.MINIFS(Seasons!$F:$F,Seasons!$S:$S,$A14))</f>
        <v/>
      </c>
      <c r="F14">
        <f>COUNTIFS(Seasons!$S:$S,$A14,Seasons!$G:$G,"Yes")</f>
        <v/>
      </c>
      <c r="G14">
        <f>IFERROR(ROUND(AVERAGEIF(Seasons!$S:$S,$A14,Seasons!$M:$M),1),"")</f>
        <v/>
      </c>
      <c r="H14">
        <f>IFERROR(ROUND(AVERAGEIF(Seasons!$S:$S,$A14,Seasons!$N:$N),1),"")</f>
        <v/>
      </c>
    </row>
    <row r="15">
      <c r="A15" t="inlineStr">
        <is>
          <t>Catenaccio</t>
        </is>
      </c>
      <c r="B15">
        <f>COUNTIF(Seasons!$S:$S,$A15)</f>
        <v/>
      </c>
      <c r="C15">
        <f>IFERROR(ROUND(AVERAGEIF(Seasons!$S:$S,$A15,Seasons!$H:$H),1),"")</f>
        <v/>
      </c>
      <c r="D15">
        <f>IFERROR(ROUND(AVERAGEIF(Seasons!$S:$S,$A15,Seasons!$F:$F),1),"")</f>
        <v/>
      </c>
      <c r="E15">
        <f>IF(B15=0,"",_xlfn.MINIFS(Seasons!$F:$F,Seasons!$S:$S,$A15))</f>
        <v/>
      </c>
      <c r="F15">
        <f>COUNTIFS(Seasons!$S:$S,$A15,Seasons!$G:$G,"Yes")</f>
        <v/>
      </c>
      <c r="G15">
        <f>IFERROR(ROUND(AVERAGEIF(Seasons!$S:$S,$A15,Seasons!$M:$M),1),"")</f>
        <v/>
      </c>
      <c r="H15">
        <f>IFERROR(ROUND(AVERAGEIF(Seasons!$S:$S,$A15,Seasons!$N:$N),1),"")</f>
        <v/>
      </c>
    </row>
    <row r="16">
      <c r="A16" t="inlineStr">
        <is>
          <t>Counter-attack</t>
        </is>
      </c>
      <c r="B16">
        <f>COUNTIF(Seasons!$S:$S,$A16)</f>
        <v/>
      </c>
      <c r="C16">
        <f>IFERROR(ROUND(AVERAGEIF(Seasons!$S:$S,$A16,Seasons!$H:$H),1),"")</f>
        <v/>
      </c>
      <c r="D16">
        <f>IFERROR(ROUND(AVERAGEIF(Seasons!$S:$S,$A16,Seasons!$F:$F),1),"")</f>
        <v/>
      </c>
      <c r="E16">
        <f>IF(B16=0,"",_xlfn.MINIFS(Seasons!$F:$F,Seasons!$S:$S,$A16))</f>
        <v/>
      </c>
      <c r="F16">
        <f>COUNTIFS(Seasons!$S:$S,$A16,Seasons!$G:$G,"Yes")</f>
        <v/>
      </c>
      <c r="G16">
        <f>IFERROR(ROUND(AVERAGEIF(Seasons!$S:$S,$A16,Seasons!$M:$M),1),"")</f>
        <v/>
      </c>
      <c r="H16">
        <f>IFERROR(ROUND(AVERAGEIF(Seasons!$S:$S,$A16,Seasons!$N:$N),1),"")</f>
        <v/>
      </c>
    </row>
    <row r="18">
      <c r="A18" s="4" t="inlineStr">
        <is>
          <t>By main formation</t>
        </is>
      </c>
    </row>
    <row r="19">
      <c r="A19" s="5" t="inlineStr">
        <is>
          <t>Main formation</t>
        </is>
      </c>
      <c r="B19" s="5" t="inlineStr">
        <is>
          <t>Seasons</t>
        </is>
      </c>
      <c r="C19" s="5" t="inlineStr">
        <is>
          <t>Avg points</t>
        </is>
      </c>
      <c r="D19" s="5" t="inlineStr">
        <is>
          <t>Avg position</t>
        </is>
      </c>
      <c r="E19" s="5" t="inlineStr">
        <is>
          <t>Best finish</t>
        </is>
      </c>
      <c r="F19" s="5" t="inlineStr">
        <is>
          <t>Titles</t>
        </is>
      </c>
      <c r="G19" s="5" t="inlineStr">
        <is>
          <t>Avg GF</t>
        </is>
      </c>
      <c r="H19" s="5" t="inlineStr">
        <is>
          <t>Avg GA</t>
        </is>
      </c>
    </row>
    <row r="20">
      <c r="A20" t="inlineStr">
        <is>
          <t>4-4-2</t>
        </is>
      </c>
      <c r="B20">
        <f>COUNTIF(Seasons!$R:$R,$A20)</f>
        <v/>
      </c>
      <c r="C20">
        <f>IFERROR(ROUND(AVERAGEIF(Seasons!$R:$R,$A20,Seasons!$H:$H),1),"")</f>
        <v/>
      </c>
      <c r="D20">
        <f>IFERROR(ROUND(AVERAGEIF(Seasons!$R:$R,$A20,Seasons!$F:$F),1),"")</f>
        <v/>
      </c>
      <c r="E20">
        <f>IF(B20=0,"",_xlfn.MINIFS(Seasons!$F:$F,Seasons!$R:$R,$A20))</f>
        <v/>
      </c>
      <c r="F20">
        <f>COUNTIFS(Seasons!$R:$R,$A20,Seasons!$G:$G,"Yes")</f>
        <v/>
      </c>
      <c r="G20">
        <f>IFERROR(ROUND(AVERAGEIF(Seasons!$R:$R,$A20,Seasons!$M:$M),1),"")</f>
        <v/>
      </c>
      <c r="H20">
        <f>IFERROR(ROUND(AVERAGEIF(Seasons!$R:$R,$A20,Seasons!$N:$N),1),"")</f>
        <v/>
      </c>
    </row>
    <row r="21">
      <c r="A21" t="inlineStr">
        <is>
          <t>4-3-3</t>
        </is>
      </c>
      <c r="B21">
        <f>COUNTIF(Seasons!$R:$R,$A21)</f>
        <v/>
      </c>
      <c r="C21">
        <f>IFERROR(ROUND(AVERAGEIF(Seasons!$R:$R,$A21,Seasons!$H:$H),1),"")</f>
        <v/>
      </c>
      <c r="D21">
        <f>IFERROR(ROUND(AVERAGEIF(Seasons!$R:$R,$A21,Seasons!$F:$F),1),"")</f>
        <v/>
      </c>
      <c r="E21">
        <f>IF(B21=0,"",_xlfn.MINIFS(Seasons!$F:$F,Seasons!$R:$R,$A21))</f>
        <v/>
      </c>
      <c r="F21">
        <f>COUNTIFS(Seasons!$R:$R,$A21,Seasons!$G:$G,"Yes")</f>
        <v/>
      </c>
      <c r="G21">
        <f>IFERROR(ROUND(AVERAGEIF(Seasons!$R:$R,$A21,Seasons!$M:$M),1),"")</f>
        <v/>
      </c>
      <c r="H21">
        <f>IFERROR(ROUND(AVERAGEIF(Seasons!$R:$R,$A21,Seasons!$N:$N),1),"")</f>
        <v/>
      </c>
    </row>
    <row r="22">
      <c r="A22" t="inlineStr">
        <is>
          <t>4-2-3-1</t>
        </is>
      </c>
      <c r="B22">
        <f>COUNTIF(Seasons!$R:$R,$A22)</f>
        <v/>
      </c>
      <c r="C22">
        <f>IFERROR(ROUND(AVERAGEIF(Seasons!$R:$R,$A22,Seasons!$H:$H),1),"")</f>
        <v/>
      </c>
      <c r="D22">
        <f>IFERROR(ROUND(AVERAGEIF(Seasons!$R:$R,$A22,Seasons!$F:$F),1),"")</f>
        <v/>
      </c>
      <c r="E22">
        <f>IF(B22=0,"",_xlfn.MINIFS(Seasons!$F:$F,Seasons!$R:$R,$A22))</f>
        <v/>
      </c>
      <c r="F22">
        <f>COUNTIFS(Seasons!$R:$R,$A22,Seasons!$G:$G,"Yes")</f>
        <v/>
      </c>
      <c r="G22">
        <f>IFERROR(ROUND(AVERAGEIF(Seasons!$R:$R,$A22,Seasons!$M:$M),1),"")</f>
        <v/>
      </c>
      <c r="H22">
        <f>IFERROR(ROUND(AVERAGEIF(Seasons!$R:$R,$A22,Seasons!$N:$N),1),"")</f>
        <v/>
      </c>
    </row>
    <row r="23">
      <c r="A23" t="inlineStr">
        <is>
          <t>4-1-3-2</t>
        </is>
      </c>
      <c r="B23">
        <f>COUNTIF(Seasons!$R:$R,$A23)</f>
        <v/>
      </c>
      <c r="C23">
        <f>IFERROR(ROUND(AVERAGEIF(Seasons!$R:$R,$A23,Seasons!$H:$H),1),"")</f>
        <v/>
      </c>
      <c r="D23">
        <f>IFERROR(ROUND(AVERAGEIF(Seasons!$R:$R,$A23,Seasons!$F:$F),1),"")</f>
        <v/>
      </c>
      <c r="E23">
        <f>IF(B23=0,"",_xlfn.MINIFS(Seasons!$F:$F,Seasons!$R:$R,$A23))</f>
        <v/>
      </c>
      <c r="F23">
        <f>COUNTIFS(Seasons!$R:$R,$A23,Seasons!$G:$G,"Yes")</f>
        <v/>
      </c>
      <c r="G23">
        <f>IFERROR(ROUND(AVERAGEIF(Seasons!$R:$R,$A23,Seasons!$M:$M),1),"")</f>
        <v/>
      </c>
      <c r="H23">
        <f>IFERROR(ROUND(AVERAGEIF(Seasons!$R:$R,$A23,Seasons!$N:$N),1),"")</f>
        <v/>
      </c>
    </row>
    <row r="24">
      <c r="A24" t="inlineStr">
        <is>
          <t>5-3-2</t>
        </is>
      </c>
      <c r="B24">
        <f>COUNTIF(Seasons!$R:$R,$A24)</f>
        <v/>
      </c>
      <c r="C24">
        <f>IFERROR(ROUND(AVERAGEIF(Seasons!$R:$R,$A24,Seasons!$H:$H),1),"")</f>
        <v/>
      </c>
      <c r="D24">
        <f>IFERROR(ROUND(AVERAGEIF(Seasons!$R:$R,$A24,Seasons!$F:$F),1),"")</f>
        <v/>
      </c>
      <c r="E24">
        <f>IF(B24=0,"",_xlfn.MINIFS(Seasons!$F:$F,Seasons!$R:$R,$A24))</f>
        <v/>
      </c>
      <c r="F24">
        <f>COUNTIFS(Seasons!$R:$R,$A24,Seasons!$G:$G,"Yes")</f>
        <v/>
      </c>
      <c r="G24">
        <f>IFERROR(ROUND(AVERAGEIF(Seasons!$R:$R,$A24,Seasons!$M:$M),1),"")</f>
        <v/>
      </c>
      <c r="H24">
        <f>IFERROR(ROUND(AVERAGEIF(Seasons!$R:$R,$A24,Seasons!$N:$N),1),"")</f>
        <v/>
      </c>
    </row>
    <row r="25">
      <c r="A25" t="inlineStr">
        <is>
          <t>5-2-2-1</t>
        </is>
      </c>
      <c r="B25">
        <f>COUNTIF(Seasons!$R:$R,$A25)</f>
        <v/>
      </c>
      <c r="C25">
        <f>IFERROR(ROUND(AVERAGEIF(Seasons!$R:$R,$A25,Seasons!$H:$H),1),"")</f>
        <v/>
      </c>
      <c r="D25">
        <f>IFERROR(ROUND(AVERAGEIF(Seasons!$R:$R,$A25,Seasons!$F:$F),1),"")</f>
        <v/>
      </c>
      <c r="E25">
        <f>IF(B25=0,"",_xlfn.MINIFS(Seasons!$F:$F,Seasons!$R:$R,$A25))</f>
        <v/>
      </c>
      <c r="F25">
        <f>COUNTIFS(Seasons!$R:$R,$A25,Seasons!$G:$G,"Yes")</f>
        <v/>
      </c>
      <c r="G25">
        <f>IFERROR(ROUND(AVERAGEIF(Seasons!$R:$R,$A25,Seasons!$M:$M),1),"")</f>
        <v/>
      </c>
      <c r="H25">
        <f>IFERROR(ROUND(AVERAGEIF(Seasons!$R:$R,$A25,Seasons!$N:$N),1),"")</f>
        <v/>
      </c>
    </row>
    <row r="26">
      <c r="A26" t="inlineStr">
        <is>
          <t>Custom*</t>
        </is>
      </c>
      <c r="B26">
        <f>COUNTIF(Seasons!$R:$R,$A26)</f>
        <v/>
      </c>
      <c r="C26">
        <f>IFERROR(ROUND(AVERAGEIF(Seasons!$R:$R,$A26,Seasons!$H:$H),1),"")</f>
        <v/>
      </c>
      <c r="D26">
        <f>IFERROR(ROUND(AVERAGEIF(Seasons!$R:$R,$A26,Seasons!$F:$F),1),"")</f>
        <v/>
      </c>
      <c r="E26">
        <f>IF(B26=0,"",_xlfn.MINIFS(Seasons!$F:$F,Seasons!$R:$R,$A26))</f>
        <v/>
      </c>
      <c r="F26">
        <f>COUNTIFS(Seasons!$R:$R,$A26,Seasons!$G:$G,"Yes")</f>
        <v/>
      </c>
      <c r="G26">
        <f>IFERROR(ROUND(AVERAGEIF(Seasons!$R:$R,$A26,Seasons!$M:$M),1),"")</f>
        <v/>
      </c>
      <c r="H26">
        <f>IFERROR(ROUND(AVERAGEIF(Seasons!$R:$R,$A26,Seasons!$N:$N),1),"")</f>
        <v/>
      </c>
    </row>
    <row r="28">
      <c r="A28" s="4" t="inlineStr">
        <is>
          <t>By main mentality</t>
        </is>
      </c>
    </row>
    <row r="29">
      <c r="A29" s="5" t="inlineStr">
        <is>
          <t>Main mentality</t>
        </is>
      </c>
      <c r="B29" s="5" t="inlineStr">
        <is>
          <t>Seasons</t>
        </is>
      </c>
      <c r="C29" s="5" t="inlineStr">
        <is>
          <t>Avg points</t>
        </is>
      </c>
      <c r="D29" s="5" t="inlineStr">
        <is>
          <t>Avg position</t>
        </is>
      </c>
      <c r="E29" s="5" t="inlineStr">
        <is>
          <t>Best finish</t>
        </is>
      </c>
      <c r="F29" s="5" t="inlineStr">
        <is>
          <t>Titles</t>
        </is>
      </c>
      <c r="G29" s="5" t="inlineStr">
        <is>
          <t>Avg GF</t>
        </is>
      </c>
      <c r="H29" s="5" t="inlineStr">
        <is>
          <t>Avg GA</t>
        </is>
      </c>
    </row>
    <row r="30">
      <c r="A30" t="inlineStr">
        <is>
          <t>Very Defensive</t>
        </is>
      </c>
      <c r="B30">
        <f>COUNTIF(Seasons!$V:$V,$A30)</f>
        <v/>
      </c>
      <c r="C30">
        <f>IFERROR(ROUND(AVERAGEIF(Seasons!$V:$V,$A30,Seasons!$H:$H),1),"")</f>
        <v/>
      </c>
      <c r="D30">
        <f>IFERROR(ROUND(AVERAGEIF(Seasons!$V:$V,$A30,Seasons!$F:$F),1),"")</f>
        <v/>
      </c>
      <c r="E30">
        <f>IF(B30=0,"",_xlfn.MINIFS(Seasons!$F:$F,Seasons!$V:$V,$A30))</f>
        <v/>
      </c>
      <c r="F30">
        <f>COUNTIFS(Seasons!$V:$V,$A30,Seasons!$G:$G,"Yes")</f>
        <v/>
      </c>
      <c r="G30">
        <f>IFERROR(ROUND(AVERAGEIF(Seasons!$V:$V,$A30,Seasons!$M:$M),1),"")</f>
        <v/>
      </c>
      <c r="H30">
        <f>IFERROR(ROUND(AVERAGEIF(Seasons!$V:$V,$A30,Seasons!$N:$N),1),"")</f>
        <v/>
      </c>
    </row>
    <row r="31">
      <c r="A31" t="inlineStr">
        <is>
          <t>Defensive</t>
        </is>
      </c>
      <c r="B31">
        <f>COUNTIF(Seasons!$V:$V,$A31)</f>
        <v/>
      </c>
      <c r="C31">
        <f>IFERROR(ROUND(AVERAGEIF(Seasons!$V:$V,$A31,Seasons!$H:$H),1),"")</f>
        <v/>
      </c>
      <c r="D31">
        <f>IFERROR(ROUND(AVERAGEIF(Seasons!$V:$V,$A31,Seasons!$F:$F),1),"")</f>
        <v/>
      </c>
      <c r="E31">
        <f>IF(B31=0,"",_xlfn.MINIFS(Seasons!$F:$F,Seasons!$V:$V,$A31))</f>
        <v/>
      </c>
      <c r="F31">
        <f>COUNTIFS(Seasons!$V:$V,$A31,Seasons!$G:$G,"Yes")</f>
        <v/>
      </c>
      <c r="G31">
        <f>IFERROR(ROUND(AVERAGEIF(Seasons!$V:$V,$A31,Seasons!$M:$M),1),"")</f>
        <v/>
      </c>
      <c r="H31">
        <f>IFERROR(ROUND(AVERAGEIF(Seasons!$V:$V,$A31,Seasons!$N:$N),1),"")</f>
        <v/>
      </c>
    </row>
    <row r="32">
      <c r="A32" t="inlineStr">
        <is>
          <t>Balanced</t>
        </is>
      </c>
      <c r="B32">
        <f>COUNTIF(Seasons!$V:$V,$A32)</f>
        <v/>
      </c>
      <c r="C32">
        <f>IFERROR(ROUND(AVERAGEIF(Seasons!$V:$V,$A32,Seasons!$H:$H),1),"")</f>
        <v/>
      </c>
      <c r="D32">
        <f>IFERROR(ROUND(AVERAGEIF(Seasons!$V:$V,$A32,Seasons!$F:$F),1),"")</f>
        <v/>
      </c>
      <c r="E32">
        <f>IF(B32=0,"",_xlfn.MINIFS(Seasons!$F:$F,Seasons!$V:$V,$A32))</f>
        <v/>
      </c>
      <c r="F32">
        <f>COUNTIFS(Seasons!$V:$V,$A32,Seasons!$G:$G,"Yes")</f>
        <v/>
      </c>
      <c r="G32">
        <f>IFERROR(ROUND(AVERAGEIF(Seasons!$V:$V,$A32,Seasons!$M:$M),1),"")</f>
        <v/>
      </c>
      <c r="H32">
        <f>IFERROR(ROUND(AVERAGEIF(Seasons!$V:$V,$A32,Seasons!$N:$N),1),"")</f>
        <v/>
      </c>
    </row>
    <row r="33">
      <c r="A33" t="inlineStr">
        <is>
          <t>Attacking</t>
        </is>
      </c>
      <c r="B33">
        <f>COUNTIF(Seasons!$V:$V,$A33)</f>
        <v/>
      </c>
      <c r="C33">
        <f>IFERROR(ROUND(AVERAGEIF(Seasons!$V:$V,$A33,Seasons!$H:$H),1),"")</f>
        <v/>
      </c>
      <c r="D33">
        <f>IFERROR(ROUND(AVERAGEIF(Seasons!$V:$V,$A33,Seasons!$F:$F),1),"")</f>
        <v/>
      </c>
      <c r="E33">
        <f>IF(B33=0,"",_xlfn.MINIFS(Seasons!$F:$F,Seasons!$V:$V,$A33))</f>
        <v/>
      </c>
      <c r="F33">
        <f>COUNTIFS(Seasons!$V:$V,$A33,Seasons!$G:$G,"Yes")</f>
        <v/>
      </c>
      <c r="G33">
        <f>IFERROR(ROUND(AVERAGEIF(Seasons!$V:$V,$A33,Seasons!$M:$M),1),"")</f>
        <v/>
      </c>
      <c r="H33">
        <f>IFERROR(ROUND(AVERAGEIF(Seasons!$V:$V,$A33,Seasons!$N:$N),1),"")</f>
        <v/>
      </c>
    </row>
    <row r="34">
      <c r="A34" t="inlineStr">
        <is>
          <t>Very Attacking</t>
        </is>
      </c>
      <c r="B34">
        <f>COUNTIF(Seasons!$V:$V,$A34)</f>
        <v/>
      </c>
      <c r="C34">
        <f>IFERROR(ROUND(AVERAGEIF(Seasons!$V:$V,$A34,Seasons!$H:$H),1),"")</f>
        <v/>
      </c>
      <c r="D34">
        <f>IFERROR(ROUND(AVERAGEIF(Seasons!$V:$V,$A34,Seasons!$F:$F),1),"")</f>
        <v/>
      </c>
      <c r="E34">
        <f>IF(B34=0,"",_xlfn.MINIFS(Seasons!$F:$F,Seasons!$V:$V,$A34))</f>
        <v/>
      </c>
      <c r="F34">
        <f>COUNTIFS(Seasons!$V:$V,$A34,Seasons!$G:$G,"Yes")</f>
        <v/>
      </c>
      <c r="G34">
        <f>IFERROR(ROUND(AVERAGEIF(Seasons!$V:$V,$A34,Seasons!$M:$M),1),"")</f>
        <v/>
      </c>
      <c r="H34">
        <f>IFERROR(ROUND(AVERAGEIF(Seasons!$V:$V,$A34,Seasons!$N:$N),1),"")</f>
        <v/>
      </c>
    </row>
    <row r="36">
      <c r="A36" s="4" t="inlineStr">
        <is>
          <t>By main tempo</t>
        </is>
      </c>
    </row>
    <row r="37">
      <c r="A37" s="5" t="inlineStr">
        <is>
          <t>Main tempo</t>
        </is>
      </c>
      <c r="B37" s="5" t="inlineStr">
        <is>
          <t>Seasons</t>
        </is>
      </c>
      <c r="C37" s="5" t="inlineStr">
        <is>
          <t>Avg points</t>
        </is>
      </c>
      <c r="D37" s="5" t="inlineStr">
        <is>
          <t>Avg position</t>
        </is>
      </c>
      <c r="E37" s="5" t="inlineStr">
        <is>
          <t>Best finish</t>
        </is>
      </c>
      <c r="F37" s="5" t="inlineStr">
        <is>
          <t>Titles</t>
        </is>
      </c>
      <c r="G37" s="5" t="inlineStr">
        <is>
          <t>Avg GF</t>
        </is>
      </c>
      <c r="H37" s="5" t="inlineStr">
        <is>
          <t>Avg GA</t>
        </is>
      </c>
    </row>
    <row r="38">
      <c r="A38" t="inlineStr">
        <is>
          <t>Slow</t>
        </is>
      </c>
      <c r="B38">
        <f>COUNTIF(Seasons!$W:$W,$A38)</f>
        <v/>
      </c>
      <c r="C38">
        <f>IFERROR(ROUND(AVERAGEIF(Seasons!$W:$W,$A38,Seasons!$H:$H),1),"")</f>
        <v/>
      </c>
      <c r="D38">
        <f>IFERROR(ROUND(AVERAGEIF(Seasons!$W:$W,$A38,Seasons!$F:$F),1),"")</f>
        <v/>
      </c>
      <c r="E38">
        <f>IF(B38=0,"",_xlfn.MINIFS(Seasons!$F:$F,Seasons!$W:$W,$A38))</f>
        <v/>
      </c>
      <c r="F38">
        <f>COUNTIFS(Seasons!$W:$W,$A38,Seasons!$G:$G,"Yes")</f>
        <v/>
      </c>
      <c r="G38">
        <f>IFERROR(ROUND(AVERAGEIF(Seasons!$W:$W,$A38,Seasons!$M:$M),1),"")</f>
        <v/>
      </c>
      <c r="H38">
        <f>IFERROR(ROUND(AVERAGEIF(Seasons!$W:$W,$A38,Seasons!$N:$N),1),"")</f>
        <v/>
      </c>
    </row>
    <row r="39">
      <c r="A39" t="inlineStr">
        <is>
          <t>Normal</t>
        </is>
      </c>
      <c r="B39">
        <f>COUNTIF(Seasons!$W:$W,$A39)</f>
        <v/>
      </c>
      <c r="C39">
        <f>IFERROR(ROUND(AVERAGEIF(Seasons!$W:$W,$A39,Seasons!$H:$H),1),"")</f>
        <v/>
      </c>
      <c r="D39">
        <f>IFERROR(ROUND(AVERAGEIF(Seasons!$W:$W,$A39,Seasons!$F:$F),1),"")</f>
        <v/>
      </c>
      <c r="E39">
        <f>IF(B39=0,"",_xlfn.MINIFS(Seasons!$F:$F,Seasons!$W:$W,$A39))</f>
        <v/>
      </c>
      <c r="F39">
        <f>COUNTIFS(Seasons!$W:$W,$A39,Seasons!$G:$G,"Yes")</f>
        <v/>
      </c>
      <c r="G39">
        <f>IFERROR(ROUND(AVERAGEIF(Seasons!$W:$W,$A39,Seasons!$M:$M),1),"")</f>
        <v/>
      </c>
      <c r="H39">
        <f>IFERROR(ROUND(AVERAGEIF(Seasons!$W:$W,$A39,Seasons!$N:$N),1),"")</f>
        <v/>
      </c>
    </row>
    <row r="40">
      <c r="A40" t="inlineStr">
        <is>
          <t>Fast</t>
        </is>
      </c>
      <c r="B40">
        <f>COUNTIF(Seasons!$W:$W,$A40)</f>
        <v/>
      </c>
      <c r="C40">
        <f>IFERROR(ROUND(AVERAGEIF(Seasons!$W:$W,$A40,Seasons!$H:$H),1),"")</f>
        <v/>
      </c>
      <c r="D40">
        <f>IFERROR(ROUND(AVERAGEIF(Seasons!$W:$W,$A40,Seasons!$F:$F),1),"")</f>
        <v/>
      </c>
      <c r="E40">
        <f>IF(B40=0,"",_xlfn.MINIFS(Seasons!$F:$F,Seasons!$W:$W,$A40))</f>
        <v/>
      </c>
      <c r="F40">
        <f>COUNTIFS(Seasons!$W:$W,$A40,Seasons!$G:$G,"Yes")</f>
        <v/>
      </c>
      <c r="G40">
        <f>IFERROR(ROUND(AVERAGEIF(Seasons!$W:$W,$A40,Seasons!$M:$M),1),"")</f>
        <v/>
      </c>
      <c r="H40">
        <f>IFERROR(ROUND(AVERAGEIF(Seasons!$W:$W,$A40,Seasons!$N:$N),1),"")</f>
        <v/>
      </c>
    </row>
    <row r="42">
      <c r="A42" s="4" t="inlineStr">
        <is>
          <t>By main defensive line</t>
        </is>
      </c>
    </row>
    <row r="43">
      <c r="A43" s="5" t="inlineStr">
        <is>
          <t>Main defensive line</t>
        </is>
      </c>
      <c r="B43" s="5" t="inlineStr">
        <is>
          <t>Seasons</t>
        </is>
      </c>
      <c r="C43" s="5" t="inlineStr">
        <is>
          <t>Avg points</t>
        </is>
      </c>
      <c r="D43" s="5" t="inlineStr">
        <is>
          <t>Avg position</t>
        </is>
      </c>
      <c r="E43" s="5" t="inlineStr">
        <is>
          <t>Best finish</t>
        </is>
      </c>
      <c r="F43" s="5" t="inlineStr">
        <is>
          <t>Titles</t>
        </is>
      </c>
      <c r="G43" s="5" t="inlineStr">
        <is>
          <t>Avg GF</t>
        </is>
      </c>
      <c r="H43" s="5" t="inlineStr">
        <is>
          <t>Avg GA</t>
        </is>
      </c>
    </row>
    <row r="44">
      <c r="A44" t="inlineStr">
        <is>
          <t>High line</t>
        </is>
      </c>
      <c r="B44">
        <f>COUNTIF(Seasons!$X:$X,$A44)</f>
        <v/>
      </c>
      <c r="C44">
        <f>IFERROR(ROUND(AVERAGEIF(Seasons!$X:$X,$A44,Seasons!$H:$H),1),"")</f>
        <v/>
      </c>
      <c r="D44">
        <f>IFERROR(ROUND(AVERAGEIF(Seasons!$X:$X,$A44,Seasons!$F:$F),1),"")</f>
        <v/>
      </c>
      <c r="E44">
        <f>IF(B44=0,"",_xlfn.MINIFS(Seasons!$F:$F,Seasons!$X:$X,$A44))</f>
        <v/>
      </c>
      <c r="F44">
        <f>COUNTIFS(Seasons!$X:$X,$A44,Seasons!$G:$G,"Yes")</f>
        <v/>
      </c>
      <c r="G44">
        <f>IFERROR(ROUND(AVERAGEIF(Seasons!$X:$X,$A44,Seasons!$M:$M),1),"")</f>
        <v/>
      </c>
      <c r="H44">
        <f>IFERROR(ROUND(AVERAGEIF(Seasons!$X:$X,$A44,Seasons!$N:$N),1),"")</f>
        <v/>
      </c>
    </row>
    <row r="45">
      <c r="A45" t="inlineStr">
        <is>
          <t>Medium-block</t>
        </is>
      </c>
      <c r="B45">
        <f>COUNTIF(Seasons!$X:$X,$A45)</f>
        <v/>
      </c>
      <c r="C45">
        <f>IFERROR(ROUND(AVERAGEIF(Seasons!$X:$X,$A45,Seasons!$H:$H),1),"")</f>
        <v/>
      </c>
      <c r="D45">
        <f>IFERROR(ROUND(AVERAGEIF(Seasons!$X:$X,$A45,Seasons!$F:$F),1),"")</f>
        <v/>
      </c>
      <c r="E45">
        <f>IF(B45=0,"",_xlfn.MINIFS(Seasons!$F:$F,Seasons!$X:$X,$A45))</f>
        <v/>
      </c>
      <c r="F45">
        <f>COUNTIFS(Seasons!$X:$X,$A45,Seasons!$G:$G,"Yes")</f>
        <v/>
      </c>
      <c r="G45">
        <f>IFERROR(ROUND(AVERAGEIF(Seasons!$X:$X,$A45,Seasons!$M:$M),1),"")</f>
        <v/>
      </c>
      <c r="H45">
        <f>IFERROR(ROUND(AVERAGEIF(Seasons!$X:$X,$A45,Seasons!$N:$N),1),"")</f>
        <v/>
      </c>
    </row>
    <row r="46">
      <c r="A46" t="inlineStr">
        <is>
          <t>Low defensive line</t>
        </is>
      </c>
      <c r="B46">
        <f>COUNTIF(Seasons!$X:$X,$A46)</f>
        <v/>
      </c>
      <c r="C46">
        <f>IFERROR(ROUND(AVERAGEIF(Seasons!$X:$X,$A46,Seasons!$H:$H),1),"")</f>
        <v/>
      </c>
      <c r="D46">
        <f>IFERROR(ROUND(AVERAGEIF(Seasons!$X:$X,$A46,Seasons!$F:$F),1),"")</f>
        <v/>
      </c>
      <c r="E46">
        <f>IF(B46=0,"",_xlfn.MINIFS(Seasons!$F:$F,Seasons!$X:$X,$A46))</f>
        <v/>
      </c>
      <c r="F46">
        <f>COUNTIFS(Seasons!$X:$X,$A46,Seasons!$G:$G,"Yes")</f>
        <v/>
      </c>
      <c r="G46">
        <f>IFERROR(ROUND(AVERAGEIF(Seasons!$X:$X,$A46,Seasons!$M:$M),1),"")</f>
        <v/>
      </c>
      <c r="H46">
        <f>IFERROR(ROUND(AVERAGEIF(Seasons!$X:$X,$A46,Seasons!$N:$N),1),"")</f>
        <v/>
      </c>
    </row>
    <row r="48">
      <c r="A48" s="4" t="inlineStr">
        <is>
          <t>By main pressing</t>
        </is>
      </c>
    </row>
    <row r="49">
      <c r="A49" s="5" t="inlineStr">
        <is>
          <t>Main pressing</t>
        </is>
      </c>
      <c r="B49" s="5" t="inlineStr">
        <is>
          <t>Seasons</t>
        </is>
      </c>
      <c r="C49" s="5" t="inlineStr">
        <is>
          <t>Avg points</t>
        </is>
      </c>
      <c r="D49" s="5" t="inlineStr">
        <is>
          <t>Avg position</t>
        </is>
      </c>
      <c r="E49" s="5" t="inlineStr">
        <is>
          <t>Best finish</t>
        </is>
      </c>
      <c r="F49" s="5" t="inlineStr">
        <is>
          <t>Titles</t>
        </is>
      </c>
      <c r="G49" s="5" t="inlineStr">
        <is>
          <t>Avg GF</t>
        </is>
      </c>
      <c r="H49" s="5" t="inlineStr">
        <is>
          <t>Avg GA</t>
        </is>
      </c>
    </row>
    <row r="50">
      <c r="A50" t="inlineStr">
        <is>
          <t>High Press</t>
        </is>
      </c>
      <c r="B50">
        <f>COUNTIF(Seasons!$Y:$Y,$A50)</f>
        <v/>
      </c>
      <c r="C50">
        <f>IFERROR(ROUND(AVERAGEIF(Seasons!$Y:$Y,$A50,Seasons!$H:$H),1),"")</f>
        <v/>
      </c>
      <c r="D50">
        <f>IFERROR(ROUND(AVERAGEIF(Seasons!$Y:$Y,$A50,Seasons!$F:$F),1),"")</f>
        <v/>
      </c>
      <c r="E50">
        <f>IF(B50=0,"",_xlfn.MINIFS(Seasons!$F:$F,Seasons!$Y:$Y,$A50))</f>
        <v/>
      </c>
      <c r="F50">
        <f>COUNTIFS(Seasons!$Y:$Y,$A50,Seasons!$G:$G,"Yes")</f>
        <v/>
      </c>
      <c r="G50">
        <f>IFERROR(ROUND(AVERAGEIF(Seasons!$Y:$Y,$A50,Seasons!$M:$M),1),"")</f>
        <v/>
      </c>
      <c r="H50">
        <f>IFERROR(ROUND(AVERAGEIF(Seasons!$Y:$Y,$A50,Seasons!$N:$N),1),"")</f>
        <v/>
      </c>
    </row>
    <row r="51">
      <c r="A51" t="inlineStr">
        <is>
          <t>Balanced</t>
        </is>
      </c>
      <c r="B51">
        <f>COUNTIF(Seasons!$Y:$Y,$A51)</f>
        <v/>
      </c>
      <c r="C51">
        <f>IFERROR(ROUND(AVERAGEIF(Seasons!$Y:$Y,$A51,Seasons!$H:$H),1),"")</f>
        <v/>
      </c>
      <c r="D51">
        <f>IFERROR(ROUND(AVERAGEIF(Seasons!$Y:$Y,$A51,Seasons!$F:$F),1),"")</f>
        <v/>
      </c>
      <c r="E51">
        <f>IF(B51=0,"",_xlfn.MINIFS(Seasons!$F:$F,Seasons!$Y:$Y,$A51))</f>
        <v/>
      </c>
      <c r="F51">
        <f>COUNTIFS(Seasons!$Y:$Y,$A51,Seasons!$G:$G,"Yes")</f>
        <v/>
      </c>
      <c r="G51">
        <f>IFERROR(ROUND(AVERAGEIF(Seasons!$Y:$Y,$A51,Seasons!$M:$M),1),"")</f>
        <v/>
      </c>
      <c r="H51">
        <f>IFERROR(ROUND(AVERAGEIF(Seasons!$Y:$Y,$A51,Seasons!$N:$N),1),"")</f>
        <v/>
      </c>
    </row>
    <row r="52">
      <c r="A52" t="inlineStr">
        <is>
          <t>Low Press</t>
        </is>
      </c>
      <c r="B52">
        <f>COUNTIF(Seasons!$Y:$Y,$A52)</f>
        <v/>
      </c>
      <c r="C52">
        <f>IFERROR(ROUND(AVERAGEIF(Seasons!$Y:$Y,$A52,Seasons!$H:$H),1),"")</f>
        <v/>
      </c>
      <c r="D52">
        <f>IFERROR(ROUND(AVERAGEIF(Seasons!$Y:$Y,$A52,Seasons!$F:$F),1),"")</f>
        <v/>
      </c>
      <c r="E52">
        <f>IF(B52=0,"",_xlfn.MINIFS(Seasons!$F:$F,Seasons!$Y:$Y,$A52))</f>
        <v/>
      </c>
      <c r="F52">
        <f>COUNTIFS(Seasons!$Y:$Y,$A52,Seasons!$G:$G,"Yes")</f>
        <v/>
      </c>
      <c r="G52">
        <f>IFERROR(ROUND(AVERAGEIF(Seasons!$Y:$Y,$A52,Seasons!$M:$M),1),"")</f>
        <v/>
      </c>
      <c r="H52">
        <f>IFERROR(ROUND(AVERAGEIF(Seasons!$Y:$Y,$A52,Seasons!$N:$N),1),"")</f>
        <v/>
      </c>
    </row>
    <row r="54">
      <c r="A54" s="4" t="inlineStr">
        <is>
          <t>By main passing</t>
        </is>
      </c>
    </row>
    <row r="55">
      <c r="A55" s="5" t="inlineStr">
        <is>
          <t>Main passing</t>
        </is>
      </c>
      <c r="B55" s="5" t="inlineStr">
        <is>
          <t>Seasons</t>
        </is>
      </c>
      <c r="C55" s="5" t="inlineStr">
        <is>
          <t>Avg points</t>
        </is>
      </c>
      <c r="D55" s="5" t="inlineStr">
        <is>
          <t>Avg position</t>
        </is>
      </c>
      <c r="E55" s="5" t="inlineStr">
        <is>
          <t>Best finish</t>
        </is>
      </c>
      <c r="F55" s="5" t="inlineStr">
        <is>
          <t>Titles</t>
        </is>
      </c>
      <c r="G55" s="5" t="inlineStr">
        <is>
          <t>Avg GF</t>
        </is>
      </c>
      <c r="H55" s="5" t="inlineStr">
        <is>
          <t>Avg GA</t>
        </is>
      </c>
    </row>
    <row r="56">
      <c r="A56" t="inlineStr">
        <is>
          <t>Short</t>
        </is>
      </c>
      <c r="B56">
        <f>COUNTIF(Seasons!$Z:$Z,$A56)</f>
        <v/>
      </c>
      <c r="C56">
        <f>IFERROR(ROUND(AVERAGEIF(Seasons!$Z:$Z,$A56,Seasons!$H:$H),1),"")</f>
        <v/>
      </c>
      <c r="D56">
        <f>IFERROR(ROUND(AVERAGEIF(Seasons!$Z:$Z,$A56,Seasons!$F:$F),1),"")</f>
        <v/>
      </c>
      <c r="E56">
        <f>IF(B56=0,"",_xlfn.MINIFS(Seasons!$F:$F,Seasons!$Z:$Z,$A56))</f>
        <v/>
      </c>
      <c r="F56">
        <f>COUNTIFS(Seasons!$Z:$Z,$A56,Seasons!$G:$G,"Yes")</f>
        <v/>
      </c>
      <c r="G56">
        <f>IFERROR(ROUND(AVERAGEIF(Seasons!$Z:$Z,$A56,Seasons!$M:$M),1),"")</f>
        <v/>
      </c>
      <c r="H56">
        <f>IFERROR(ROUND(AVERAGEIF(Seasons!$Z:$Z,$A56,Seasons!$N:$N),1),"")</f>
        <v/>
      </c>
    </row>
    <row r="57">
      <c r="A57" t="inlineStr">
        <is>
          <t>Balanced</t>
        </is>
      </c>
      <c r="B57">
        <f>COUNTIF(Seasons!$Z:$Z,$A57)</f>
        <v/>
      </c>
      <c r="C57">
        <f>IFERROR(ROUND(AVERAGEIF(Seasons!$Z:$Z,$A57,Seasons!$H:$H),1),"")</f>
        <v/>
      </c>
      <c r="D57">
        <f>IFERROR(ROUND(AVERAGEIF(Seasons!$Z:$Z,$A57,Seasons!$F:$F),1),"")</f>
        <v/>
      </c>
      <c r="E57">
        <f>IF(B57=0,"",_xlfn.MINIFS(Seasons!$F:$F,Seasons!$Z:$Z,$A57))</f>
        <v/>
      </c>
      <c r="F57">
        <f>COUNTIFS(Seasons!$Z:$Z,$A57,Seasons!$G:$G,"Yes")</f>
        <v/>
      </c>
      <c r="G57">
        <f>IFERROR(ROUND(AVERAGEIF(Seasons!$Z:$Z,$A57,Seasons!$M:$M),1),"")</f>
        <v/>
      </c>
      <c r="H57">
        <f>IFERROR(ROUND(AVERAGEIF(Seasons!$Z:$Z,$A57,Seasons!$N:$N),1),"")</f>
        <v/>
      </c>
    </row>
    <row r="58">
      <c r="A58" t="inlineStr">
        <is>
          <t>Direct</t>
        </is>
      </c>
      <c r="B58">
        <f>COUNTIF(Seasons!$Z:$Z,$A58)</f>
        <v/>
      </c>
      <c r="C58">
        <f>IFERROR(ROUND(AVERAGEIF(Seasons!$Z:$Z,$A58,Seasons!$H:$H),1),"")</f>
        <v/>
      </c>
      <c r="D58">
        <f>IFERROR(ROUND(AVERAGEIF(Seasons!$Z:$Z,$A58,Seasons!$F:$F),1),"")</f>
        <v/>
      </c>
      <c r="E58">
        <f>IF(B58=0,"",_xlfn.MINIFS(Seasons!$F:$F,Seasons!$Z:$Z,$A58))</f>
        <v/>
      </c>
      <c r="F58">
        <f>COUNTIFS(Seasons!$Z:$Z,$A58,Seasons!$G:$G,"Yes")</f>
        <v/>
      </c>
      <c r="G58">
        <f>IFERROR(ROUND(AVERAGEIF(Seasons!$Z:$Z,$A58,Seasons!$M:$M),1),"")</f>
        <v/>
      </c>
      <c r="H58">
        <f>IFERROR(ROUND(AVERAGEIF(Seasons!$Z:$Z,$A58,Seasons!$N:$N),1),"")</f>
        <v/>
      </c>
    </row>
    <row r="60">
      <c r="A60" s="4" t="inlineStr">
        <is>
          <t>By main defensive stance</t>
        </is>
      </c>
    </row>
    <row r="61">
      <c r="A61" s="5" t="inlineStr">
        <is>
          <t>Main defensive stance</t>
        </is>
      </c>
      <c r="B61" s="5" t="inlineStr">
        <is>
          <t>Seasons</t>
        </is>
      </c>
      <c r="C61" s="5" t="inlineStr">
        <is>
          <t>Avg points</t>
        </is>
      </c>
      <c r="D61" s="5" t="inlineStr">
        <is>
          <t>Avg position</t>
        </is>
      </c>
      <c r="E61" s="5" t="inlineStr">
        <is>
          <t>Best finish</t>
        </is>
      </c>
      <c r="F61" s="5" t="inlineStr">
        <is>
          <t>Titles</t>
        </is>
      </c>
      <c r="G61" s="5" t="inlineStr">
        <is>
          <t>Avg GF</t>
        </is>
      </c>
      <c r="H61" s="5" t="inlineStr">
        <is>
          <t>Avg GA</t>
        </is>
      </c>
    </row>
    <row r="62">
      <c r="A62" t="inlineStr">
        <is>
          <t>Force play on the wing</t>
        </is>
      </c>
      <c r="B62">
        <f>COUNTIF(Seasons!$AA:$AA,$A62)</f>
        <v/>
      </c>
      <c r="C62">
        <f>IFERROR(ROUND(AVERAGEIF(Seasons!$AA:$AA,$A62,Seasons!$H:$H),1),"")</f>
        <v/>
      </c>
      <c r="D62">
        <f>IFERROR(ROUND(AVERAGEIF(Seasons!$AA:$AA,$A62,Seasons!$F:$F),1),"")</f>
        <v/>
      </c>
      <c r="E62">
        <f>IF(B62=0,"",_xlfn.MINIFS(Seasons!$F:$F,Seasons!$AA:$AA,$A62))</f>
        <v/>
      </c>
      <c r="F62">
        <f>COUNTIFS(Seasons!$AA:$AA,$A62,Seasons!$G:$G,"Yes")</f>
        <v/>
      </c>
      <c r="G62">
        <f>IFERROR(ROUND(AVERAGEIF(Seasons!$AA:$AA,$A62,Seasons!$M:$M),1),"")</f>
        <v/>
      </c>
      <c r="H62">
        <f>IFERROR(ROUND(AVERAGEIF(Seasons!$AA:$AA,$A62,Seasons!$N:$N),1),"")</f>
        <v/>
      </c>
    </row>
    <row r="63">
      <c r="A63" t="inlineStr">
        <is>
          <t>Compact</t>
        </is>
      </c>
      <c r="B63">
        <f>COUNTIF(Seasons!$AA:$AA,$A63)</f>
        <v/>
      </c>
      <c r="C63">
        <f>IFERROR(ROUND(AVERAGEIF(Seasons!$AA:$AA,$A63,Seasons!$H:$H),1),"")</f>
        <v/>
      </c>
      <c r="D63">
        <f>IFERROR(ROUND(AVERAGEIF(Seasons!$AA:$AA,$A63,Seasons!$F:$F),1),"")</f>
        <v/>
      </c>
      <c r="E63">
        <f>IF(B63=0,"",_xlfn.MINIFS(Seasons!$F:$F,Seasons!$AA:$AA,$A63))</f>
        <v/>
      </c>
      <c r="F63">
        <f>COUNTIFS(Seasons!$AA:$AA,$A63,Seasons!$G:$G,"Yes")</f>
        <v/>
      </c>
      <c r="G63">
        <f>IFERROR(ROUND(AVERAGEIF(Seasons!$AA:$AA,$A63,Seasons!$M:$M),1),"")</f>
        <v/>
      </c>
      <c r="H63">
        <f>IFERROR(ROUND(AVERAGEIF(Seasons!$AA:$AA,$A63,Seasons!$N:$N),1),"")</f>
        <v/>
      </c>
    </row>
    <row r="64">
      <c r="A64" t="inlineStr">
        <is>
          <t>Force play through the middle</t>
        </is>
      </c>
      <c r="B64">
        <f>COUNTIF(Seasons!$AA:$AA,$A64)</f>
        <v/>
      </c>
      <c r="C64">
        <f>IFERROR(ROUND(AVERAGEIF(Seasons!$AA:$AA,$A64,Seasons!$H:$H),1),"")</f>
        <v/>
      </c>
      <c r="D64">
        <f>IFERROR(ROUND(AVERAGEIF(Seasons!$AA:$AA,$A64,Seasons!$F:$F),1),"")</f>
        <v/>
      </c>
      <c r="E64">
        <f>IF(B64=0,"",_xlfn.MINIFS(Seasons!$F:$F,Seasons!$AA:$AA,$A64))</f>
        <v/>
      </c>
      <c r="F64">
        <f>COUNTIFS(Seasons!$AA:$AA,$A64,Seasons!$G:$G,"Yes")</f>
        <v/>
      </c>
      <c r="G64">
        <f>IFERROR(ROUND(AVERAGEIF(Seasons!$AA:$AA,$A64,Seasons!$M:$M),1),"")</f>
        <v/>
      </c>
      <c r="H64">
        <f>IFERROR(ROUND(AVERAGEIF(Seasons!$AA:$AA,$A64,Seasons!$N:$N),1),"")</f>
        <v/>
      </c>
    </row>
    <row r="65">
      <c r="A65" t="inlineStr">
        <is>
          <t>Man to man all pitch</t>
        </is>
      </c>
      <c r="B65">
        <f>COUNTIF(Seasons!$AA:$AA,$A65)</f>
        <v/>
      </c>
      <c r="C65">
        <f>IFERROR(ROUND(AVERAGEIF(Seasons!$AA:$AA,$A65,Seasons!$H:$H),1),"")</f>
        <v/>
      </c>
      <c r="D65">
        <f>IFERROR(ROUND(AVERAGEIF(Seasons!$AA:$AA,$A65,Seasons!$F:$F),1),"")</f>
        <v/>
      </c>
      <c r="E65">
        <f>IF(B65=0,"",_xlfn.MINIFS(Seasons!$F:$F,Seasons!$AA:$AA,$A65))</f>
        <v/>
      </c>
      <c r="F65">
        <f>COUNTIFS(Seasons!$AA:$AA,$A65,Seasons!$G:$G,"Yes")</f>
        <v/>
      </c>
      <c r="G65">
        <f>IFERROR(ROUND(AVERAGEIF(Seasons!$AA:$AA,$A65,Seasons!$M:$M),1),"")</f>
        <v/>
      </c>
      <c r="H65">
        <f>IFERROR(ROUND(AVERAGEIF(Seasons!$AA:$AA,$A65,Seasons!$N:$N),1),"")</f>
        <v/>
      </c>
    </row>
    <row r="67">
      <c r="A67" s="4" t="inlineStr">
        <is>
          <t>By main attacking preference</t>
        </is>
      </c>
    </row>
    <row r="68">
      <c r="A68" s="5" t="inlineStr">
        <is>
          <t>Main attacking preference</t>
        </is>
      </c>
      <c r="B68" s="5" t="inlineStr">
        <is>
          <t>Seasons</t>
        </is>
      </c>
      <c r="C68" s="5" t="inlineStr">
        <is>
          <t>Avg points</t>
        </is>
      </c>
      <c r="D68" s="5" t="inlineStr">
        <is>
          <t>Avg position</t>
        </is>
      </c>
      <c r="E68" s="5" t="inlineStr">
        <is>
          <t>Best finish</t>
        </is>
      </c>
      <c r="F68" s="5" t="inlineStr">
        <is>
          <t>Titles</t>
        </is>
      </c>
      <c r="G68" s="5" t="inlineStr">
        <is>
          <t>Avg GF</t>
        </is>
      </c>
      <c r="H68" s="5" t="inlineStr">
        <is>
          <t>Avg GA</t>
        </is>
      </c>
    </row>
    <row r="69">
      <c r="A69" t="inlineStr">
        <is>
          <t>Balanced</t>
        </is>
      </c>
      <c r="B69">
        <f>COUNTIF(Seasons!$AB:$AB,$A69)</f>
        <v/>
      </c>
      <c r="C69">
        <f>IFERROR(ROUND(AVERAGEIF(Seasons!$AB:$AB,$A69,Seasons!$H:$H),1),"")</f>
        <v/>
      </c>
      <c r="D69">
        <f>IFERROR(ROUND(AVERAGEIF(Seasons!$AB:$AB,$A69,Seasons!$F:$F),1),"")</f>
        <v/>
      </c>
      <c r="E69">
        <f>IF(B69=0,"",_xlfn.MINIFS(Seasons!$F:$F,Seasons!$AB:$AB,$A69))</f>
        <v/>
      </c>
      <c r="F69">
        <f>COUNTIFS(Seasons!$AB:$AB,$A69,Seasons!$G:$G,"Yes")</f>
        <v/>
      </c>
      <c r="G69">
        <f>IFERROR(ROUND(AVERAGEIF(Seasons!$AB:$AB,$A69,Seasons!$M:$M),1),"")</f>
        <v/>
      </c>
      <c r="H69">
        <f>IFERROR(ROUND(AVERAGEIF(Seasons!$AB:$AB,$A69,Seasons!$N:$N),1),"")</f>
        <v/>
      </c>
    </row>
    <row r="70">
      <c r="A70" t="inlineStr">
        <is>
          <t>Focus on Wing Play</t>
        </is>
      </c>
      <c r="B70">
        <f>COUNTIF(Seasons!$AB:$AB,$A70)</f>
        <v/>
      </c>
      <c r="C70">
        <f>IFERROR(ROUND(AVERAGEIF(Seasons!$AB:$AB,$A70,Seasons!$H:$H),1),"")</f>
        <v/>
      </c>
      <c r="D70">
        <f>IFERROR(ROUND(AVERAGEIF(Seasons!$AB:$AB,$A70,Seasons!$F:$F),1),"")</f>
        <v/>
      </c>
      <c r="E70">
        <f>IF(B70=0,"",_xlfn.MINIFS(Seasons!$F:$F,Seasons!$AB:$AB,$A70))</f>
        <v/>
      </c>
      <c r="F70">
        <f>COUNTIFS(Seasons!$AB:$AB,$A70,Seasons!$G:$G,"Yes")</f>
        <v/>
      </c>
      <c r="G70">
        <f>IFERROR(ROUND(AVERAGEIF(Seasons!$AB:$AB,$A70,Seasons!$M:$M),1),"")</f>
        <v/>
      </c>
      <c r="H70">
        <f>IFERROR(ROUND(AVERAGEIF(Seasons!$AB:$AB,$A70,Seasons!$N:$N),1),"")</f>
        <v/>
      </c>
    </row>
    <row r="71">
      <c r="A71" t="inlineStr">
        <is>
          <t>Focus on Middle Play</t>
        </is>
      </c>
      <c r="B71">
        <f>COUNTIF(Seasons!$AB:$AB,$A71)</f>
        <v/>
      </c>
      <c r="C71">
        <f>IFERROR(ROUND(AVERAGEIF(Seasons!$AB:$AB,$A71,Seasons!$H:$H),1),"")</f>
        <v/>
      </c>
      <c r="D71">
        <f>IFERROR(ROUND(AVERAGEIF(Seasons!$AB:$AB,$A71,Seasons!$F:$F),1),"")</f>
        <v/>
      </c>
      <c r="E71">
        <f>IF(B71=0,"",_xlfn.MINIFS(Seasons!$F:$F,Seasons!$AB:$AB,$A71))</f>
        <v/>
      </c>
      <c r="F71">
        <f>COUNTIFS(Seasons!$AB:$AB,$A71,Seasons!$G:$G,"Yes")</f>
        <v/>
      </c>
      <c r="G71">
        <f>IFERROR(ROUND(AVERAGEIF(Seasons!$AB:$AB,$A71,Seasons!$M:$M),1),"")</f>
        <v/>
      </c>
      <c r="H71">
        <f>IFERROR(ROUND(AVERAGEIF(Seasons!$AB:$AB,$A71,Seasons!$N:$N),1),"")</f>
        <v/>
      </c>
    </row>
    <row r="73">
      <c r="A73" s="4" t="inlineStr">
        <is>
          <t>By club</t>
        </is>
      </c>
    </row>
    <row r="74">
      <c r="A74" s="5" t="inlineStr">
        <is>
          <t>Club</t>
        </is>
      </c>
      <c r="B74" s="5" t="inlineStr">
        <is>
          <t>Seasons</t>
        </is>
      </c>
      <c r="C74" s="5" t="inlineStr">
        <is>
          <t>Avg points</t>
        </is>
      </c>
      <c r="D74" s="5" t="inlineStr">
        <is>
          <t>Avg position</t>
        </is>
      </c>
      <c r="E74" s="5" t="inlineStr">
        <is>
          <t>Best finish</t>
        </is>
      </c>
      <c r="F74" s="5" t="inlineStr">
        <is>
          <t>Titles</t>
        </is>
      </c>
      <c r="G74" s="5" t="inlineStr">
        <is>
          <t>Avg GF</t>
        </is>
      </c>
      <c r="H74" s="5" t="inlineStr">
        <is>
          <t>Avg GA</t>
        </is>
      </c>
    </row>
    <row r="75">
      <c r="A75" t="inlineStr">
        <is>
          <t>Académico de Viseu F.C.</t>
        </is>
      </c>
      <c r="B75">
        <f>COUNTIF(Seasons!$E:$E,$A75)</f>
        <v/>
      </c>
      <c r="C75">
        <f>IFERROR(ROUND(AVERAGEIF(Seasons!$E:$E,$A75,Seasons!$H:$H),1),"")</f>
        <v/>
      </c>
      <c r="D75">
        <f>IFERROR(ROUND(AVERAGEIF(Seasons!$E:$E,$A75,Seasons!$F:$F),1),"")</f>
        <v/>
      </c>
      <c r="E75">
        <f>IF(B75=0,"",_xlfn.MINIFS(Seasons!$F:$F,Seasons!$E:$E,$A75))</f>
        <v/>
      </c>
      <c r="F75">
        <f>COUNTIFS(Seasons!$E:$E,$A75,Seasons!$G:$G,"Yes")</f>
        <v/>
      </c>
      <c r="G75">
        <f>IFERROR(ROUND(AVERAGEIF(Seasons!$E:$E,$A75,Seasons!$M:$M),1),"")</f>
        <v/>
      </c>
      <c r="H75">
        <f>IFERROR(ROUND(AVERAGEIF(Seasons!$E:$E,$A75,Seasons!$N:$N),1),"")</f>
        <v/>
      </c>
    </row>
    <row r="76">
      <c r="A76" t="inlineStr">
        <is>
          <t>Alverca</t>
        </is>
      </c>
      <c r="B76">
        <f>COUNTIF(Seasons!$E:$E,$A76)</f>
        <v/>
      </c>
      <c r="C76">
        <f>IFERROR(ROUND(AVERAGEIF(Seasons!$E:$E,$A76,Seasons!$H:$H),1),"")</f>
        <v/>
      </c>
      <c r="D76">
        <f>IFERROR(ROUND(AVERAGEIF(Seasons!$E:$E,$A76,Seasons!$F:$F),1),"")</f>
        <v/>
      </c>
      <c r="E76">
        <f>IF(B76=0,"",_xlfn.MINIFS(Seasons!$F:$F,Seasons!$E:$E,$A76))</f>
        <v/>
      </c>
      <c r="F76">
        <f>COUNTIFS(Seasons!$E:$E,$A76,Seasons!$G:$G,"Yes")</f>
        <v/>
      </c>
      <c r="G76">
        <f>IFERROR(ROUND(AVERAGEIF(Seasons!$E:$E,$A76,Seasons!$M:$M),1),"")</f>
        <v/>
      </c>
      <c r="H76">
        <f>IFERROR(ROUND(AVERAGEIF(Seasons!$E:$E,$A76,Seasons!$N:$N),1),"")</f>
        <v/>
      </c>
    </row>
    <row r="77">
      <c r="A77" t="inlineStr">
        <is>
          <t>Arouca</t>
        </is>
      </c>
      <c r="B77">
        <f>COUNTIF(Seasons!$E:$E,$A77)</f>
        <v/>
      </c>
      <c r="C77">
        <f>IFERROR(ROUND(AVERAGEIF(Seasons!$E:$E,$A77,Seasons!$H:$H),1),"")</f>
        <v/>
      </c>
      <c r="D77">
        <f>IFERROR(ROUND(AVERAGEIF(Seasons!$E:$E,$A77,Seasons!$F:$F),1),"")</f>
        <v/>
      </c>
      <c r="E77">
        <f>IF(B77=0,"",_xlfn.MINIFS(Seasons!$F:$F,Seasons!$E:$E,$A77))</f>
        <v/>
      </c>
      <c r="F77">
        <f>COUNTIFS(Seasons!$E:$E,$A77,Seasons!$G:$G,"Yes")</f>
        <v/>
      </c>
      <c r="G77">
        <f>IFERROR(ROUND(AVERAGEIF(Seasons!$E:$E,$A77,Seasons!$M:$M),1),"")</f>
        <v/>
      </c>
      <c r="H77">
        <f>IFERROR(ROUND(AVERAGEIF(Seasons!$E:$E,$A77,Seasons!$N:$N),1),"")</f>
        <v/>
      </c>
    </row>
    <row r="78">
      <c r="A78" t="inlineStr">
        <is>
          <t>Benfica</t>
        </is>
      </c>
      <c r="B78">
        <f>COUNTIF(Seasons!$E:$E,$A78)</f>
        <v/>
      </c>
      <c r="C78">
        <f>IFERROR(ROUND(AVERAGEIF(Seasons!$E:$E,$A78,Seasons!$H:$H),1),"")</f>
        <v/>
      </c>
      <c r="D78">
        <f>IFERROR(ROUND(AVERAGEIF(Seasons!$E:$E,$A78,Seasons!$F:$F),1),"")</f>
        <v/>
      </c>
      <c r="E78">
        <f>IF(B78=0,"",_xlfn.MINIFS(Seasons!$F:$F,Seasons!$E:$E,$A78))</f>
        <v/>
      </c>
      <c r="F78">
        <f>COUNTIFS(Seasons!$E:$E,$A78,Seasons!$G:$G,"Yes")</f>
        <v/>
      </c>
      <c r="G78">
        <f>IFERROR(ROUND(AVERAGEIF(Seasons!$E:$E,$A78,Seasons!$M:$M),1),"")</f>
        <v/>
      </c>
      <c r="H78">
        <f>IFERROR(ROUND(AVERAGEIF(Seasons!$E:$E,$A78,Seasons!$N:$N),1),"")</f>
        <v/>
      </c>
    </row>
    <row r="79">
      <c r="A79" t="inlineStr">
        <is>
          <t>Casa Pia AC</t>
        </is>
      </c>
      <c r="B79">
        <f>COUNTIF(Seasons!$E:$E,$A79)</f>
        <v/>
      </c>
      <c r="C79">
        <f>IFERROR(ROUND(AVERAGEIF(Seasons!$E:$E,$A79,Seasons!$H:$H),1),"")</f>
        <v/>
      </c>
      <c r="D79">
        <f>IFERROR(ROUND(AVERAGEIF(Seasons!$E:$E,$A79,Seasons!$F:$F),1),"")</f>
        <v/>
      </c>
      <c r="E79">
        <f>IF(B79=0,"",_xlfn.MINIFS(Seasons!$F:$F,Seasons!$E:$E,$A79))</f>
        <v/>
      </c>
      <c r="F79">
        <f>COUNTIFS(Seasons!$E:$E,$A79,Seasons!$G:$G,"Yes")</f>
        <v/>
      </c>
      <c r="G79">
        <f>IFERROR(ROUND(AVERAGEIF(Seasons!$E:$E,$A79,Seasons!$M:$M),1),"")</f>
        <v/>
      </c>
      <c r="H79">
        <f>IFERROR(ROUND(AVERAGEIF(Seasons!$E:$E,$A79,Seasons!$N:$N),1),"")</f>
        <v/>
      </c>
    </row>
    <row r="80">
      <c r="A80" t="inlineStr">
        <is>
          <t>Estoril</t>
        </is>
      </c>
      <c r="B80">
        <f>COUNTIF(Seasons!$E:$E,$A80)</f>
        <v/>
      </c>
      <c r="C80">
        <f>IFERROR(ROUND(AVERAGEIF(Seasons!$E:$E,$A80,Seasons!$H:$H),1),"")</f>
        <v/>
      </c>
      <c r="D80">
        <f>IFERROR(ROUND(AVERAGEIF(Seasons!$E:$E,$A80,Seasons!$F:$F),1),"")</f>
        <v/>
      </c>
      <c r="E80">
        <f>IF(B80=0,"",_xlfn.MINIFS(Seasons!$F:$F,Seasons!$E:$E,$A80))</f>
        <v/>
      </c>
      <c r="F80">
        <f>COUNTIFS(Seasons!$E:$E,$A80,Seasons!$G:$G,"Yes")</f>
        <v/>
      </c>
      <c r="G80">
        <f>IFERROR(ROUND(AVERAGEIF(Seasons!$E:$E,$A80,Seasons!$M:$M),1),"")</f>
        <v/>
      </c>
      <c r="H80">
        <f>IFERROR(ROUND(AVERAGEIF(Seasons!$E:$E,$A80,Seasons!$N:$N),1),"")</f>
        <v/>
      </c>
    </row>
    <row r="81">
      <c r="A81" t="inlineStr">
        <is>
          <t>Estrela Amadora</t>
        </is>
      </c>
      <c r="B81">
        <f>COUNTIF(Seasons!$E:$E,$A81)</f>
        <v/>
      </c>
      <c r="C81">
        <f>IFERROR(ROUND(AVERAGEIF(Seasons!$E:$E,$A81,Seasons!$H:$H),1),"")</f>
        <v/>
      </c>
      <c r="D81">
        <f>IFERROR(ROUND(AVERAGEIF(Seasons!$E:$E,$A81,Seasons!$F:$F),1),"")</f>
        <v/>
      </c>
      <c r="E81">
        <f>IF(B81=0,"",_xlfn.MINIFS(Seasons!$F:$F,Seasons!$E:$E,$A81))</f>
        <v/>
      </c>
      <c r="F81">
        <f>COUNTIFS(Seasons!$E:$E,$A81,Seasons!$G:$G,"Yes")</f>
        <v/>
      </c>
      <c r="G81">
        <f>IFERROR(ROUND(AVERAGEIF(Seasons!$E:$E,$A81,Seasons!$M:$M),1),"")</f>
        <v/>
      </c>
      <c r="H81">
        <f>IFERROR(ROUND(AVERAGEIF(Seasons!$E:$E,$A81,Seasons!$N:$N),1),"")</f>
        <v/>
      </c>
    </row>
    <row r="82">
      <c r="A82" t="inlineStr">
        <is>
          <t>Famalicão</t>
        </is>
      </c>
      <c r="B82">
        <f>COUNTIF(Seasons!$E:$E,$A82)</f>
        <v/>
      </c>
      <c r="C82">
        <f>IFERROR(ROUND(AVERAGEIF(Seasons!$E:$E,$A82,Seasons!$H:$H),1),"")</f>
        <v/>
      </c>
      <c r="D82">
        <f>IFERROR(ROUND(AVERAGEIF(Seasons!$E:$E,$A82,Seasons!$F:$F),1),"")</f>
        <v/>
      </c>
      <c r="E82">
        <f>IF(B82=0,"",_xlfn.MINIFS(Seasons!$F:$F,Seasons!$E:$E,$A82))</f>
        <v/>
      </c>
      <c r="F82">
        <f>COUNTIFS(Seasons!$E:$E,$A82,Seasons!$G:$G,"Yes")</f>
        <v/>
      </c>
      <c r="G82">
        <f>IFERROR(ROUND(AVERAGEIF(Seasons!$E:$E,$A82,Seasons!$M:$M),1),"")</f>
        <v/>
      </c>
      <c r="H82">
        <f>IFERROR(ROUND(AVERAGEIF(Seasons!$E:$E,$A82,Seasons!$N:$N),1),"")</f>
        <v/>
      </c>
    </row>
    <row r="83">
      <c r="A83" t="inlineStr">
        <is>
          <t>Gil Vicente</t>
        </is>
      </c>
      <c r="B83">
        <f>COUNTIF(Seasons!$E:$E,$A83)</f>
        <v/>
      </c>
      <c r="C83">
        <f>IFERROR(ROUND(AVERAGEIF(Seasons!$E:$E,$A83,Seasons!$H:$H),1),"")</f>
        <v/>
      </c>
      <c r="D83">
        <f>IFERROR(ROUND(AVERAGEIF(Seasons!$E:$E,$A83,Seasons!$F:$F),1),"")</f>
        <v/>
      </c>
      <c r="E83">
        <f>IF(B83=0,"",_xlfn.MINIFS(Seasons!$F:$F,Seasons!$E:$E,$A83))</f>
        <v/>
      </c>
      <c r="F83">
        <f>COUNTIFS(Seasons!$E:$E,$A83,Seasons!$G:$G,"Yes")</f>
        <v/>
      </c>
      <c r="G83">
        <f>IFERROR(ROUND(AVERAGEIF(Seasons!$E:$E,$A83,Seasons!$M:$M),1),"")</f>
        <v/>
      </c>
      <c r="H83">
        <f>IFERROR(ROUND(AVERAGEIF(Seasons!$E:$E,$A83,Seasons!$N:$N),1),"")</f>
        <v/>
      </c>
    </row>
    <row r="84">
      <c r="A84" t="inlineStr">
        <is>
          <t>Marítimo</t>
        </is>
      </c>
      <c r="B84">
        <f>COUNTIF(Seasons!$E:$E,$A84)</f>
        <v/>
      </c>
      <c r="C84">
        <f>IFERROR(ROUND(AVERAGEIF(Seasons!$E:$E,$A84,Seasons!$H:$H),1),"")</f>
        <v/>
      </c>
      <c r="D84">
        <f>IFERROR(ROUND(AVERAGEIF(Seasons!$E:$E,$A84,Seasons!$F:$F),1),"")</f>
        <v/>
      </c>
      <c r="E84">
        <f>IF(B84=0,"",_xlfn.MINIFS(Seasons!$F:$F,Seasons!$E:$E,$A84))</f>
        <v/>
      </c>
      <c r="F84">
        <f>COUNTIFS(Seasons!$E:$E,$A84,Seasons!$G:$G,"Yes")</f>
        <v/>
      </c>
      <c r="G84">
        <f>IFERROR(ROUND(AVERAGEIF(Seasons!$E:$E,$A84,Seasons!$M:$M),1),"")</f>
        <v/>
      </c>
      <c r="H84">
        <f>IFERROR(ROUND(AVERAGEIF(Seasons!$E:$E,$A84,Seasons!$N:$N),1),"")</f>
        <v/>
      </c>
    </row>
    <row r="85">
      <c r="A85" t="inlineStr">
        <is>
          <t>Moreirense</t>
        </is>
      </c>
      <c r="B85">
        <f>COUNTIF(Seasons!$E:$E,$A85)</f>
        <v/>
      </c>
      <c r="C85">
        <f>IFERROR(ROUND(AVERAGEIF(Seasons!$E:$E,$A85,Seasons!$H:$H),1),"")</f>
        <v/>
      </c>
      <c r="D85">
        <f>IFERROR(ROUND(AVERAGEIF(Seasons!$E:$E,$A85,Seasons!$F:$F),1),"")</f>
        <v/>
      </c>
      <c r="E85">
        <f>IF(B85=0,"",_xlfn.MINIFS(Seasons!$F:$F,Seasons!$E:$E,$A85))</f>
        <v/>
      </c>
      <c r="F85">
        <f>COUNTIFS(Seasons!$E:$E,$A85,Seasons!$G:$G,"Yes")</f>
        <v/>
      </c>
      <c r="G85">
        <f>IFERROR(ROUND(AVERAGEIF(Seasons!$E:$E,$A85,Seasons!$M:$M),1),"")</f>
        <v/>
      </c>
      <c r="H85">
        <f>IFERROR(ROUND(AVERAGEIF(Seasons!$E:$E,$A85,Seasons!$N:$N),1),"")</f>
        <v/>
      </c>
    </row>
    <row r="86">
      <c r="A86" t="inlineStr">
        <is>
          <t>Nacional</t>
        </is>
      </c>
      <c r="B86">
        <f>COUNTIF(Seasons!$E:$E,$A86)</f>
        <v/>
      </c>
      <c r="C86">
        <f>IFERROR(ROUND(AVERAGEIF(Seasons!$E:$E,$A86,Seasons!$H:$H),1),"")</f>
        <v/>
      </c>
      <c r="D86">
        <f>IFERROR(ROUND(AVERAGEIF(Seasons!$E:$E,$A86,Seasons!$F:$F),1),"")</f>
        <v/>
      </c>
      <c r="E86">
        <f>IF(B86=0,"",_xlfn.MINIFS(Seasons!$F:$F,Seasons!$E:$E,$A86))</f>
        <v/>
      </c>
      <c r="F86">
        <f>COUNTIFS(Seasons!$E:$E,$A86,Seasons!$G:$G,"Yes")</f>
        <v/>
      </c>
      <c r="G86">
        <f>IFERROR(ROUND(AVERAGEIF(Seasons!$E:$E,$A86,Seasons!$M:$M),1),"")</f>
        <v/>
      </c>
      <c r="H86">
        <f>IFERROR(ROUND(AVERAGEIF(Seasons!$E:$E,$A86,Seasons!$N:$N),1),"")</f>
        <v/>
      </c>
    </row>
    <row r="87">
      <c r="A87" t="inlineStr">
        <is>
          <t>Porto</t>
        </is>
      </c>
      <c r="B87">
        <f>COUNTIF(Seasons!$E:$E,$A87)</f>
        <v/>
      </c>
      <c r="C87">
        <f>IFERROR(ROUND(AVERAGEIF(Seasons!$E:$E,$A87,Seasons!$H:$H),1),"")</f>
        <v/>
      </c>
      <c r="D87">
        <f>IFERROR(ROUND(AVERAGEIF(Seasons!$E:$E,$A87,Seasons!$F:$F),1),"")</f>
        <v/>
      </c>
      <c r="E87">
        <f>IF(B87=0,"",_xlfn.MINIFS(Seasons!$F:$F,Seasons!$E:$E,$A87))</f>
        <v/>
      </c>
      <c r="F87">
        <f>COUNTIFS(Seasons!$E:$E,$A87,Seasons!$G:$G,"Yes")</f>
        <v/>
      </c>
      <c r="G87">
        <f>IFERROR(ROUND(AVERAGEIF(Seasons!$E:$E,$A87,Seasons!$M:$M),1),"")</f>
        <v/>
      </c>
      <c r="H87">
        <f>IFERROR(ROUND(AVERAGEIF(Seasons!$E:$E,$A87,Seasons!$N:$N),1),"")</f>
        <v/>
      </c>
    </row>
    <row r="88">
      <c r="A88" t="inlineStr">
        <is>
          <t>Rio Ave</t>
        </is>
      </c>
      <c r="B88">
        <f>COUNTIF(Seasons!$E:$E,$A88)</f>
        <v/>
      </c>
      <c r="C88">
        <f>IFERROR(ROUND(AVERAGEIF(Seasons!$E:$E,$A88,Seasons!$H:$H),1),"")</f>
        <v/>
      </c>
      <c r="D88">
        <f>IFERROR(ROUND(AVERAGEIF(Seasons!$E:$E,$A88,Seasons!$F:$F),1),"")</f>
        <v/>
      </c>
      <c r="E88">
        <f>IF(B88=0,"",_xlfn.MINIFS(Seasons!$F:$F,Seasons!$E:$E,$A88))</f>
        <v/>
      </c>
      <c r="F88">
        <f>COUNTIFS(Seasons!$E:$E,$A88,Seasons!$G:$G,"Yes")</f>
        <v/>
      </c>
      <c r="G88">
        <f>IFERROR(ROUND(AVERAGEIF(Seasons!$E:$E,$A88,Seasons!$M:$M),1),"")</f>
        <v/>
      </c>
      <c r="H88">
        <f>IFERROR(ROUND(AVERAGEIF(Seasons!$E:$E,$A88,Seasons!$N:$N),1),"")</f>
        <v/>
      </c>
    </row>
    <row r="89">
      <c r="A89" t="inlineStr">
        <is>
          <t>SC Braga</t>
        </is>
      </c>
      <c r="B89">
        <f>COUNTIF(Seasons!$E:$E,$A89)</f>
        <v/>
      </c>
      <c r="C89">
        <f>IFERROR(ROUND(AVERAGEIF(Seasons!$E:$E,$A89,Seasons!$H:$H),1),"")</f>
        <v/>
      </c>
      <c r="D89">
        <f>IFERROR(ROUND(AVERAGEIF(Seasons!$E:$E,$A89,Seasons!$F:$F),1),"")</f>
        <v/>
      </c>
      <c r="E89">
        <f>IF(B89=0,"",_xlfn.MINIFS(Seasons!$F:$F,Seasons!$E:$E,$A89))</f>
        <v/>
      </c>
      <c r="F89">
        <f>COUNTIFS(Seasons!$E:$E,$A89,Seasons!$G:$G,"Yes")</f>
        <v/>
      </c>
      <c r="G89">
        <f>IFERROR(ROUND(AVERAGEIF(Seasons!$E:$E,$A89,Seasons!$M:$M),1),"")</f>
        <v/>
      </c>
      <c r="H89">
        <f>IFERROR(ROUND(AVERAGEIF(Seasons!$E:$E,$A89,Seasons!$N:$N),1),"")</f>
        <v/>
      </c>
    </row>
    <row r="90">
      <c r="A90" t="inlineStr">
        <is>
          <t>Santa Clara</t>
        </is>
      </c>
      <c r="B90">
        <f>COUNTIF(Seasons!$E:$E,$A90)</f>
        <v/>
      </c>
      <c r="C90">
        <f>IFERROR(ROUND(AVERAGEIF(Seasons!$E:$E,$A90,Seasons!$H:$H),1),"")</f>
        <v/>
      </c>
      <c r="D90">
        <f>IFERROR(ROUND(AVERAGEIF(Seasons!$E:$E,$A90,Seasons!$F:$F),1),"")</f>
        <v/>
      </c>
      <c r="E90">
        <f>IF(B90=0,"",_xlfn.MINIFS(Seasons!$F:$F,Seasons!$E:$E,$A90))</f>
        <v/>
      </c>
      <c r="F90">
        <f>COUNTIFS(Seasons!$E:$E,$A90,Seasons!$G:$G,"Yes")</f>
        <v/>
      </c>
      <c r="G90">
        <f>IFERROR(ROUND(AVERAGEIF(Seasons!$E:$E,$A90,Seasons!$M:$M),1),"")</f>
        <v/>
      </c>
      <c r="H90">
        <f>IFERROR(ROUND(AVERAGEIF(Seasons!$E:$E,$A90,Seasons!$N:$N),1),"")</f>
        <v/>
      </c>
    </row>
    <row r="91">
      <c r="A91" t="inlineStr">
        <is>
          <t>Sporting CP</t>
        </is>
      </c>
      <c r="B91">
        <f>COUNTIF(Seasons!$E:$E,$A91)</f>
        <v/>
      </c>
      <c r="C91">
        <f>IFERROR(ROUND(AVERAGEIF(Seasons!$E:$E,$A91,Seasons!$H:$H),1),"")</f>
        <v/>
      </c>
      <c r="D91">
        <f>IFERROR(ROUND(AVERAGEIF(Seasons!$E:$E,$A91,Seasons!$F:$F),1),"")</f>
        <v/>
      </c>
      <c r="E91">
        <f>IF(B91=0,"",_xlfn.MINIFS(Seasons!$F:$F,Seasons!$E:$E,$A91))</f>
        <v/>
      </c>
      <c r="F91">
        <f>COUNTIFS(Seasons!$E:$E,$A91,Seasons!$G:$G,"Yes")</f>
        <v/>
      </c>
      <c r="G91">
        <f>IFERROR(ROUND(AVERAGEIF(Seasons!$E:$E,$A91,Seasons!$M:$M),1),"")</f>
        <v/>
      </c>
      <c r="H91">
        <f>IFERROR(ROUND(AVERAGEIF(Seasons!$E:$E,$A91,Seasons!$N:$N),1),"")</f>
        <v/>
      </c>
    </row>
    <row r="92">
      <c r="A92" t="inlineStr">
        <is>
          <t>Vitória SC</t>
        </is>
      </c>
      <c r="B92">
        <f>COUNTIF(Seasons!$E:$E,$A92)</f>
        <v/>
      </c>
      <c r="C92">
        <f>IFERROR(ROUND(AVERAGEIF(Seasons!$E:$E,$A92,Seasons!$H:$H),1),"")</f>
        <v/>
      </c>
      <c r="D92">
        <f>IFERROR(ROUND(AVERAGEIF(Seasons!$E:$E,$A92,Seasons!$F:$F),1),"")</f>
        <v/>
      </c>
      <c r="E92">
        <f>IF(B92=0,"",_xlfn.MINIFS(Seasons!$F:$F,Seasons!$E:$E,$A92))</f>
        <v/>
      </c>
      <c r="F92">
        <f>COUNTIFS(Seasons!$E:$E,$A92,Seasons!$G:$G,"Yes")</f>
        <v/>
      </c>
      <c r="G92">
        <f>IFERROR(ROUND(AVERAGEIF(Seasons!$E:$E,$A92,Seasons!$M:$M),1),"")</f>
        <v/>
      </c>
      <c r="H92">
        <f>IFERROR(ROUND(AVERAGEIF(Seasons!$E:$E,$A92,Seasons!$N:$N),1),"")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1" customWidth="1" min="4" max="4"/>
    <col width="11" customWidth="1" min="5" max="5"/>
    <col width="17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9" customWidth="1" min="16" max="16"/>
    <col width="24" customWidth="1" min="17" max="17"/>
    <col width="17" customWidth="1" min="18" max="18"/>
    <col width="21" customWidth="1" min="19" max="19"/>
    <col width="22" customWidth="1" min="20" max="20"/>
    <col width="18" customWidth="1" min="21" max="21"/>
    <col width="17" customWidth="1" min="22" max="22"/>
    <col width="13" customWidth="1" min="23" max="23"/>
    <col width="22" customWidth="1" min="24" max="24"/>
    <col width="16" customWidth="1" min="25" max="25"/>
    <col width="15" customWidth="1" min="26" max="26"/>
    <col width="24" customWidth="1" min="27" max="27"/>
    <col width="28" customWidth="1" min="28" max="28"/>
    <col width="13" customWidth="1" min="29" max="29"/>
    <col width="17" customWidth="1" min="30" max="30"/>
    <col width="19" customWidth="1" min="31" max="31"/>
    <col width="15" customWidth="1" min="32" max="32"/>
    <col width="12" customWidth="1" min="33" max="33"/>
    <col width="20" customWidth="1" min="34" max="34"/>
    <col width="19" customWidth="1" min="35" max="35"/>
    <col width="27" customWidth="1" min="36" max="36"/>
    <col width="21" customWidth="1" min="37" max="37"/>
    <col width="31" customWidth="1" min="38" max="38"/>
  </cols>
  <sheetData>
    <row r="1" ht="34" customHeight="1">
      <c r="A1" s="6" t="inlineStr">
        <is>
          <t>Season ID</t>
        </is>
      </c>
      <c r="B1" s="6" t="inlineStr">
        <is>
          <t>Finished (UTC)</t>
        </is>
      </c>
      <c r="C1" s="6" t="inlineStr">
        <is>
          <t>Player session</t>
        </is>
      </c>
      <c r="D1" s="6" t="inlineStr">
        <is>
          <t>Manager</t>
        </is>
      </c>
      <c r="E1" s="6" t="inlineStr">
        <is>
          <t>Club</t>
        </is>
      </c>
      <c r="F1" s="6" t="inlineStr">
        <is>
          <t>Final position</t>
        </is>
      </c>
      <c r="G1" s="6" t="inlineStr">
        <is>
          <t>Champion</t>
        </is>
      </c>
      <c r="H1" s="6" t="inlineStr">
        <is>
          <t>Pts</t>
        </is>
      </c>
      <c r="I1" s="6" t="inlineStr">
        <is>
          <t>P</t>
        </is>
      </c>
      <c r="J1" s="6" t="inlineStr">
        <is>
          <t>W</t>
        </is>
      </c>
      <c r="K1" s="6" t="inlineStr">
        <is>
          <t>D</t>
        </is>
      </c>
      <c r="L1" s="6" t="inlineStr">
        <is>
          <t>L</t>
        </is>
      </c>
      <c r="M1" s="6" t="inlineStr">
        <is>
          <t>GF</t>
        </is>
      </c>
      <c r="N1" s="6" t="inlineStr">
        <is>
          <t>GA</t>
        </is>
      </c>
      <c r="O1" s="6" t="inlineStr">
        <is>
          <t>GD</t>
        </is>
      </c>
      <c r="P1" s="6" t="inlineStr">
        <is>
          <t>Expected rank (pre-season)</t>
        </is>
      </c>
      <c r="Q1" s="6" t="inlineStr">
        <is>
          <t>Places vs expectation</t>
        </is>
      </c>
      <c r="R1" s="6" t="inlineStr">
        <is>
          <t>Main formation</t>
        </is>
      </c>
      <c r="S1" s="6" t="inlineStr">
        <is>
          <t>Main style of play</t>
        </is>
      </c>
      <c r="T1" s="6" t="inlineStr">
        <is>
          <t>Style: matches used</t>
        </is>
      </c>
      <c r="U1" s="6" t="inlineStr">
        <is>
          <t>Avg squad fit %</t>
        </is>
      </c>
      <c r="V1" s="6" t="inlineStr">
        <is>
          <t>Main mentality</t>
        </is>
      </c>
      <c r="W1" s="6" t="inlineStr">
        <is>
          <t>Main tempo</t>
        </is>
      </c>
      <c r="X1" s="6" t="inlineStr">
        <is>
          <t>Main defensive line</t>
        </is>
      </c>
      <c r="Y1" s="6" t="inlineStr">
        <is>
          <t>Main pressing</t>
        </is>
      </c>
      <c r="Z1" s="6" t="inlineStr">
        <is>
          <t>Main passing</t>
        </is>
      </c>
      <c r="AA1" s="6" t="inlineStr">
        <is>
          <t>Main defensive stance</t>
        </is>
      </c>
      <c r="AB1" s="6" t="inlineStr">
        <is>
          <t>Main attacking preference</t>
        </is>
      </c>
      <c r="AC1" s="6" t="inlineStr">
        <is>
          <t>Avg xG for</t>
        </is>
      </c>
      <c r="AD1" s="6" t="inlineStr">
        <is>
          <t>Avg xG against</t>
        </is>
      </c>
      <c r="AE1" s="6" t="inlineStr">
        <is>
          <t>Avg possession %</t>
        </is>
      </c>
      <c r="AF1" s="6" t="inlineStr">
        <is>
          <t>Yellow cards</t>
        </is>
      </c>
      <c r="AG1" s="6" t="inlineStr">
        <is>
          <t>Red cards</t>
        </is>
      </c>
      <c r="AH1" s="6" t="inlineStr">
        <is>
          <t>Top scorer (club)</t>
        </is>
      </c>
      <c r="AI1" s="6" t="inlineStr">
        <is>
          <t>Top scorer goals</t>
        </is>
      </c>
      <c r="AJ1" s="6" t="inlineStr">
        <is>
          <t>Best player (avg rating)</t>
        </is>
      </c>
      <c r="AK1" s="6" t="inlineStr">
        <is>
          <t>Best player rating</t>
        </is>
      </c>
      <c r="AL1" s="6" t="inlineStr">
        <is>
          <t>Tactic changes during season</t>
        </is>
      </c>
    </row>
    <row r="2">
      <c r="A2" t="inlineStr">
        <is>
          <t>20261017-205523-3fa178c6</t>
        </is>
      </c>
      <c r="B2" t="inlineStr">
        <is>
          <t>2026-10-17 20:55:23</t>
        </is>
      </c>
      <c r="C2" t="inlineStr">
        <is>
          <t>3fa178c6</t>
        </is>
      </c>
      <c r="D2" t="inlineStr"/>
      <c r="E2" t="inlineStr">
        <is>
          <t>Benfica</t>
        </is>
      </c>
      <c r="F2" t="n">
        <v>2</v>
      </c>
      <c r="G2" t="inlineStr">
        <is>
          <t>No</t>
        </is>
      </c>
      <c r="H2" t="n">
        <v>71</v>
      </c>
      <c r="I2" t="n">
        <v>34</v>
      </c>
      <c r="J2" t="n">
        <v>21</v>
      </c>
      <c r="K2" t="n">
        <v>8</v>
      </c>
      <c r="L2" t="n">
        <v>5</v>
      </c>
      <c r="M2" t="n">
        <v>64</v>
      </c>
      <c r="N2" t="n">
        <v>35</v>
      </c>
      <c r="O2" t="n">
        <v>29</v>
      </c>
      <c r="P2" t="n">
        <v>2.53</v>
      </c>
      <c r="Q2" t="n">
        <v>1</v>
      </c>
      <c r="R2" t="inlineStr">
        <is>
          <t>5-2-2-1</t>
        </is>
      </c>
      <c r="S2" t="inlineStr">
        <is>
          <t>Balanced</t>
        </is>
      </c>
      <c r="T2" t="n">
        <v>34</v>
      </c>
      <c r="U2" t="n">
        <v>89.59999999999999</v>
      </c>
      <c r="V2" t="inlineStr">
        <is>
          <t>Balanced</t>
        </is>
      </c>
      <c r="W2" t="inlineStr">
        <is>
          <t>Normal</t>
        </is>
      </c>
      <c r="X2" t="inlineStr">
        <is>
          <t>Medium-block</t>
        </is>
      </c>
      <c r="Y2" t="inlineStr">
        <is>
          <t>Balanced</t>
        </is>
      </c>
      <c r="Z2" t="inlineStr">
        <is>
          <t>Balanced</t>
        </is>
      </c>
      <c r="AA2" t="inlineStr">
        <is>
          <t>Compact</t>
        </is>
      </c>
      <c r="AB2" t="inlineStr">
        <is>
          <t>Balanced</t>
        </is>
      </c>
      <c r="AC2" t="n">
        <v>1.93</v>
      </c>
      <c r="AD2" t="n">
        <v>1.09</v>
      </c>
      <c r="AE2" t="n">
        <v>53</v>
      </c>
      <c r="AF2" t="n">
        <v>46</v>
      </c>
      <c r="AG2" t="n">
        <v>2</v>
      </c>
      <c r="AH2" t="inlineStr">
        <is>
          <t>V. Pavlidis</t>
        </is>
      </c>
      <c r="AI2" t="n">
        <v>18</v>
      </c>
      <c r="AJ2" t="inlineStr">
        <is>
          <t>G. Prestianni</t>
        </is>
      </c>
      <c r="AK2" t="n">
        <v>7.37</v>
      </c>
      <c r="AL2" t="n">
        <v>0</v>
      </c>
    </row>
  </sheetData>
  <autoFilter ref="A1:A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7" customWidth="1" min="13" max="13"/>
    <col width="11" customWidth="1" min="14" max="14"/>
    <col width="11" customWidth="1" min="15" max="15"/>
    <col width="19" customWidth="1" min="16" max="16"/>
    <col width="23" customWidth="1" min="17" max="17"/>
    <col width="15" customWidth="1" min="18" max="18"/>
    <col width="14" customWidth="1" min="19" max="19"/>
    <col width="11" customWidth="1" min="20" max="20"/>
    <col width="13" customWidth="1" min="21" max="21"/>
    <col width="15" customWidth="1" min="22" max="22"/>
    <col width="15" customWidth="1" min="23" max="23"/>
    <col width="12" customWidth="1" min="24" max="24"/>
    <col width="15" customWidth="1" min="25" max="25"/>
  </cols>
  <sheetData>
    <row r="1" ht="34" customHeight="1">
      <c r="A1" s="6" t="inlineStr">
        <is>
          <t>Season ID</t>
        </is>
      </c>
      <c r="B1" s="6" t="inlineStr">
        <is>
          <t>Club</t>
        </is>
      </c>
      <c r="C1" s="6" t="inlineStr">
        <is>
          <t>Matchday</t>
        </is>
      </c>
      <c r="D1" s="6" t="inlineStr">
        <is>
          <t>Venue</t>
        </is>
      </c>
      <c r="E1" s="6" t="inlineStr">
        <is>
          <t>Opponent</t>
        </is>
      </c>
      <c r="F1" s="6" t="inlineStr">
        <is>
          <t>Result</t>
        </is>
      </c>
      <c r="G1" s="6" t="inlineStr">
        <is>
          <t>GF</t>
        </is>
      </c>
      <c r="H1" s="6" t="inlineStr">
        <is>
          <t>GA</t>
        </is>
      </c>
      <c r="I1" s="6" t="inlineStr">
        <is>
          <t>Score</t>
        </is>
      </c>
      <c r="J1" s="6" t="inlineStr">
        <is>
          <t>Formation</t>
        </is>
      </c>
      <c r="K1" s="6" t="inlineStr">
        <is>
          <t>Mentality</t>
        </is>
      </c>
      <c r="L1" s="6" t="inlineStr">
        <is>
          <t>Tempo</t>
        </is>
      </c>
      <c r="M1" s="6" t="inlineStr">
        <is>
          <t>Defensive line</t>
        </is>
      </c>
      <c r="N1" s="6" t="inlineStr">
        <is>
          <t>Pressing</t>
        </is>
      </c>
      <c r="O1" s="6" t="inlineStr">
        <is>
          <t>Passing</t>
        </is>
      </c>
      <c r="P1" s="6" t="inlineStr">
        <is>
          <t>Defensive stance</t>
        </is>
      </c>
      <c r="Q1" s="6" t="inlineStr">
        <is>
          <t>Attacking preference</t>
        </is>
      </c>
      <c r="R1" s="6" t="inlineStr">
        <is>
          <t>Type of play</t>
        </is>
      </c>
      <c r="S1" s="6" t="inlineStr">
        <is>
          <t>Squad fit %</t>
        </is>
      </c>
      <c r="T1" s="6" t="inlineStr">
        <is>
          <t>xG for</t>
        </is>
      </c>
      <c r="U1" s="6" t="inlineStr">
        <is>
          <t>xG against</t>
        </is>
      </c>
      <c r="V1" s="6" t="inlineStr">
        <is>
          <t>Possession %</t>
        </is>
      </c>
      <c r="W1" s="6" t="inlineStr">
        <is>
          <t>Yellow cards</t>
        </is>
      </c>
      <c r="X1" s="6" t="inlineStr">
        <is>
          <t>Red cards</t>
        </is>
      </c>
      <c r="Y1" s="6" t="inlineStr">
        <is>
          <t>Club scorers</t>
        </is>
      </c>
    </row>
    <row r="2">
      <c r="A2" t="inlineStr">
        <is>
          <t>20261017-205523-3fa178c6</t>
        </is>
      </c>
      <c r="B2" t="inlineStr">
        <is>
          <t>Benfica</t>
        </is>
      </c>
      <c r="C2" t="n">
        <v>1</v>
      </c>
      <c r="D2" t="inlineStr">
        <is>
          <t>Home</t>
        </is>
      </c>
      <c r="E2" t="inlineStr">
        <is>
          <t>Estoril</t>
        </is>
      </c>
      <c r="F2" t="inlineStr">
        <is>
          <t>W</t>
        </is>
      </c>
      <c r="G2" t="n">
        <v>1</v>
      </c>
      <c r="H2" t="n">
        <v>0</v>
      </c>
      <c r="I2" t="inlineStr">
        <is>
          <t>1-0</t>
        </is>
      </c>
      <c r="J2" t="inlineStr">
        <is>
          <t>5-2-2-1</t>
        </is>
      </c>
      <c r="K2" t="inlineStr">
        <is>
          <t>Balanced</t>
        </is>
      </c>
      <c r="L2" t="inlineStr">
        <is>
          <t>Normal</t>
        </is>
      </c>
      <c r="M2" t="inlineStr">
        <is>
          <t>Medium-block</t>
        </is>
      </c>
      <c r="N2" t="inlineStr">
        <is>
          <t>Balanced</t>
        </is>
      </c>
      <c r="O2" t="inlineStr">
        <is>
          <t>Balanced</t>
        </is>
      </c>
      <c r="P2" t="inlineStr">
        <is>
          <t>Compact</t>
        </is>
      </c>
      <c r="Q2" t="inlineStr">
        <is>
          <t>Balanced</t>
        </is>
      </c>
      <c r="R2" t="inlineStr">
        <is>
          <t>Balanced</t>
        </is>
      </c>
      <c r="S2" t="n">
        <v>89.5</v>
      </c>
      <c r="T2" t="n">
        <v>1.92</v>
      </c>
      <c r="U2" t="n">
        <v>0.68</v>
      </c>
      <c r="V2" t="n">
        <v>54</v>
      </c>
      <c r="W2" t="n">
        <v>2</v>
      </c>
      <c r="X2" t="n">
        <v>0</v>
      </c>
      <c r="Y2" t="inlineStr">
        <is>
          <t>V. Pavlidis 25'</t>
        </is>
      </c>
    </row>
    <row r="3">
      <c r="A3" t="inlineStr">
        <is>
          <t>20261017-205523-3fa178c6</t>
        </is>
      </c>
      <c r="B3" t="inlineStr">
        <is>
          <t>Benfica</t>
        </is>
      </c>
      <c r="C3" t="n">
        <v>2</v>
      </c>
      <c r="D3" t="inlineStr">
        <is>
          <t>Away</t>
        </is>
      </c>
      <c r="E3" t="inlineStr">
        <is>
          <t>Alverca</t>
        </is>
      </c>
      <c r="F3" t="inlineStr">
        <is>
          <t>D</t>
        </is>
      </c>
      <c r="G3" t="n">
        <v>2</v>
      </c>
      <c r="H3" t="n">
        <v>2</v>
      </c>
      <c r="I3" t="inlineStr">
        <is>
          <t>2-2</t>
        </is>
      </c>
      <c r="J3" t="inlineStr">
        <is>
          <t>5-2-2-1</t>
        </is>
      </c>
      <c r="K3" t="inlineStr">
        <is>
          <t>Balanced</t>
        </is>
      </c>
      <c r="L3" t="inlineStr">
        <is>
          <t>Normal</t>
        </is>
      </c>
      <c r="M3" t="inlineStr">
        <is>
          <t>Medium-block</t>
        </is>
      </c>
      <c r="N3" t="inlineStr">
        <is>
          <t>Balanced</t>
        </is>
      </c>
      <c r="O3" t="inlineStr">
        <is>
          <t>Balanced</t>
        </is>
      </c>
      <c r="P3" t="inlineStr">
        <is>
          <t>Compact</t>
        </is>
      </c>
      <c r="Q3" t="inlineStr">
        <is>
          <t>Balanced</t>
        </is>
      </c>
      <c r="R3" t="inlineStr">
        <is>
          <t>Balanced</t>
        </is>
      </c>
      <c r="S3" t="n">
        <v>89.5</v>
      </c>
      <c r="T3" t="n">
        <v>1.77</v>
      </c>
      <c r="U3" t="n">
        <v>0.86</v>
      </c>
      <c r="V3" t="n">
        <v>60.2</v>
      </c>
      <c r="W3" t="n">
        <v>1</v>
      </c>
      <c r="X3" t="n">
        <v>0</v>
      </c>
      <c r="Y3" t="inlineStr">
        <is>
          <t>F. Aursnes 7', V. Pavlidis 36'</t>
        </is>
      </c>
    </row>
    <row r="4">
      <c r="A4" t="inlineStr">
        <is>
          <t>20261017-205523-3fa178c6</t>
        </is>
      </c>
      <c r="B4" t="inlineStr">
        <is>
          <t>Benfica</t>
        </is>
      </c>
      <c r="C4" t="n">
        <v>3</v>
      </c>
      <c r="D4" t="inlineStr">
        <is>
          <t>Away</t>
        </is>
      </c>
      <c r="E4" t="inlineStr">
        <is>
          <t>Sporting CP</t>
        </is>
      </c>
      <c r="F4" t="inlineStr">
        <is>
          <t>L</t>
        </is>
      </c>
      <c r="G4" t="n">
        <v>1</v>
      </c>
      <c r="H4" t="n">
        <v>4</v>
      </c>
      <c r="I4" t="inlineStr">
        <is>
          <t>1-4</t>
        </is>
      </c>
      <c r="J4" t="inlineStr">
        <is>
          <t>5-2-2-1</t>
        </is>
      </c>
      <c r="K4" t="inlineStr">
        <is>
          <t>Balanced</t>
        </is>
      </c>
      <c r="L4" t="inlineStr">
        <is>
          <t>Normal</t>
        </is>
      </c>
      <c r="M4" t="inlineStr">
        <is>
          <t>Medium-block</t>
        </is>
      </c>
      <c r="N4" t="inlineStr">
        <is>
          <t>Balanced</t>
        </is>
      </c>
      <c r="O4" t="inlineStr">
        <is>
          <t>Balanced</t>
        </is>
      </c>
      <c r="P4" t="inlineStr">
        <is>
          <t>Compact</t>
        </is>
      </c>
      <c r="Q4" t="inlineStr">
        <is>
          <t>Balanced</t>
        </is>
      </c>
      <c r="R4" t="inlineStr">
        <is>
          <t>Balanced</t>
        </is>
      </c>
      <c r="S4" t="n">
        <v>89.5</v>
      </c>
      <c r="T4" t="n">
        <v>1.32</v>
      </c>
      <c r="U4" t="n">
        <v>2.22</v>
      </c>
      <c r="V4" t="n">
        <v>41.5</v>
      </c>
      <c r="W4" t="n">
        <v>2</v>
      </c>
      <c r="X4" t="n">
        <v>0</v>
      </c>
      <c r="Y4" t="inlineStr">
        <is>
          <t>G. Prestianni 19'</t>
        </is>
      </c>
    </row>
    <row r="5">
      <c r="A5" t="inlineStr">
        <is>
          <t>20261017-205523-3fa178c6</t>
        </is>
      </c>
      <c r="B5" t="inlineStr">
        <is>
          <t>Benfica</t>
        </is>
      </c>
      <c r="C5" t="n">
        <v>4</v>
      </c>
      <c r="D5" t="inlineStr">
        <is>
          <t>Home</t>
        </is>
      </c>
      <c r="E5" t="inlineStr">
        <is>
          <t>Rio Ave</t>
        </is>
      </c>
      <c r="F5" t="inlineStr">
        <is>
          <t>W</t>
        </is>
      </c>
      <c r="G5" t="n">
        <v>3</v>
      </c>
      <c r="H5" t="n">
        <v>2</v>
      </c>
      <c r="I5" t="inlineStr">
        <is>
          <t>3-2</t>
        </is>
      </c>
      <c r="J5" t="inlineStr">
        <is>
          <t>5-2-2-1</t>
        </is>
      </c>
      <c r="K5" t="inlineStr">
        <is>
          <t>Balanced</t>
        </is>
      </c>
      <c r="L5" t="inlineStr">
        <is>
          <t>Normal</t>
        </is>
      </c>
      <c r="M5" t="inlineStr">
        <is>
          <t>Medium-block</t>
        </is>
      </c>
      <c r="N5" t="inlineStr">
        <is>
          <t>Balanced</t>
        </is>
      </c>
      <c r="O5" t="inlineStr">
        <is>
          <t>Balanced</t>
        </is>
      </c>
      <c r="P5" t="inlineStr">
        <is>
          <t>Compact</t>
        </is>
      </c>
      <c r="Q5" t="inlineStr">
        <is>
          <t>Balanced</t>
        </is>
      </c>
      <c r="R5" t="inlineStr">
        <is>
          <t>Balanced</t>
        </is>
      </c>
      <c r="S5" t="n">
        <v>89.5</v>
      </c>
      <c r="T5" t="n">
        <v>2.76</v>
      </c>
      <c r="U5" t="n">
        <v>1.38</v>
      </c>
      <c r="V5" t="n">
        <v>65.09999999999999</v>
      </c>
      <c r="W5" t="n">
        <v>1</v>
      </c>
      <c r="X5" t="n">
        <v>0</v>
      </c>
      <c r="Y5" t="inlineStr">
        <is>
          <t>G. Prestianni 9', V. Pavlidis 16', V. Pavlidis 78'</t>
        </is>
      </c>
    </row>
    <row r="6">
      <c r="A6" t="inlineStr">
        <is>
          <t>20261017-205523-3fa178c6</t>
        </is>
      </c>
      <c r="B6" t="inlineStr">
        <is>
          <t>Benfica</t>
        </is>
      </c>
      <c r="C6" t="n">
        <v>5</v>
      </c>
      <c r="D6" t="inlineStr">
        <is>
          <t>Away</t>
        </is>
      </c>
      <c r="E6" t="inlineStr">
        <is>
          <t>SC Braga</t>
        </is>
      </c>
      <c r="F6" t="inlineStr">
        <is>
          <t>W</t>
        </is>
      </c>
      <c r="G6" t="n">
        <v>1</v>
      </c>
      <c r="H6" t="n">
        <v>0</v>
      </c>
      <c r="I6" t="inlineStr">
        <is>
          <t>1-0</t>
        </is>
      </c>
      <c r="J6" t="inlineStr">
        <is>
          <t>5-2-2-1</t>
        </is>
      </c>
      <c r="K6" t="inlineStr">
        <is>
          <t>Balanced</t>
        </is>
      </c>
      <c r="L6" t="inlineStr">
        <is>
          <t>Normal</t>
        </is>
      </c>
      <c r="M6" t="inlineStr">
        <is>
          <t>Medium-block</t>
        </is>
      </c>
      <c r="N6" t="inlineStr">
        <is>
          <t>Balanced</t>
        </is>
      </c>
      <c r="O6" t="inlineStr">
        <is>
          <t>Balanced</t>
        </is>
      </c>
      <c r="P6" t="inlineStr">
        <is>
          <t>Compact</t>
        </is>
      </c>
      <c r="Q6" t="inlineStr">
        <is>
          <t>Balanced</t>
        </is>
      </c>
      <c r="R6" t="inlineStr">
        <is>
          <t>Balanced</t>
        </is>
      </c>
      <c r="S6" t="n">
        <v>89.5</v>
      </c>
      <c r="T6" t="n">
        <v>1.45</v>
      </c>
      <c r="U6" t="n">
        <v>1.19</v>
      </c>
      <c r="V6" t="n">
        <v>59.8</v>
      </c>
      <c r="W6" t="n">
        <v>2</v>
      </c>
      <c r="X6" t="n">
        <v>0</v>
      </c>
      <c r="Y6" t="inlineStr">
        <is>
          <t>S. El Karouani 80'</t>
        </is>
      </c>
    </row>
    <row r="7">
      <c r="A7" t="inlineStr">
        <is>
          <t>20261017-205523-3fa178c6</t>
        </is>
      </c>
      <c r="B7" t="inlineStr">
        <is>
          <t>Benfica</t>
        </is>
      </c>
      <c r="C7" t="n">
        <v>6</v>
      </c>
      <c r="D7" t="inlineStr">
        <is>
          <t>Home</t>
        </is>
      </c>
      <c r="E7" t="inlineStr">
        <is>
          <t>Estrela Amadora</t>
        </is>
      </c>
      <c r="F7" t="inlineStr">
        <is>
          <t>W</t>
        </is>
      </c>
      <c r="G7" t="n">
        <v>4</v>
      </c>
      <c r="H7" t="n">
        <v>0</v>
      </c>
      <c r="I7" t="inlineStr">
        <is>
          <t>4-0</t>
        </is>
      </c>
      <c r="J7" t="inlineStr">
        <is>
          <t>5-2-2-1</t>
        </is>
      </c>
      <c r="K7" t="inlineStr">
        <is>
          <t>Balanced</t>
        </is>
      </c>
      <c r="L7" t="inlineStr">
        <is>
          <t>Normal</t>
        </is>
      </c>
      <c r="M7" t="inlineStr">
        <is>
          <t>Medium-block</t>
        </is>
      </c>
      <c r="N7" t="inlineStr">
        <is>
          <t>Balanced</t>
        </is>
      </c>
      <c r="O7" t="inlineStr">
        <is>
          <t>Balanced</t>
        </is>
      </c>
      <c r="P7" t="inlineStr">
        <is>
          <t>Compact</t>
        </is>
      </c>
      <c r="Q7" t="inlineStr">
        <is>
          <t>Balanced</t>
        </is>
      </c>
      <c r="R7" t="inlineStr">
        <is>
          <t>Balanced</t>
        </is>
      </c>
      <c r="S7" t="n">
        <v>89.5</v>
      </c>
      <c r="T7" t="n">
        <v>1.87</v>
      </c>
      <c r="U7" t="n">
        <v>0.9</v>
      </c>
      <c r="V7" t="n">
        <v>55.6</v>
      </c>
      <c r="W7" t="n">
        <v>2</v>
      </c>
      <c r="X7" t="n">
        <v>0</v>
      </c>
      <c r="Y7" t="inlineStr">
        <is>
          <t>V. Pavlidis 17', F. Aursnes 31', G. Prestianni 38', João Palhinha 51'</t>
        </is>
      </c>
    </row>
    <row r="8">
      <c r="A8" t="inlineStr">
        <is>
          <t>20261017-205523-3fa178c6</t>
        </is>
      </c>
      <c r="B8" t="inlineStr">
        <is>
          <t>Benfica</t>
        </is>
      </c>
      <c r="C8" t="n">
        <v>7</v>
      </c>
      <c r="D8" t="inlineStr">
        <is>
          <t>Away</t>
        </is>
      </c>
      <c r="E8" t="inlineStr">
        <is>
          <t>Arouca</t>
        </is>
      </c>
      <c r="F8" t="inlineStr">
        <is>
          <t>W</t>
        </is>
      </c>
      <c r="G8" t="n">
        <v>2</v>
      </c>
      <c r="H8" t="n">
        <v>0</v>
      </c>
      <c r="I8" t="inlineStr">
        <is>
          <t>2-0</t>
        </is>
      </c>
      <c r="J8" t="inlineStr">
        <is>
          <t>5-2-2-1</t>
        </is>
      </c>
      <c r="K8" t="inlineStr">
        <is>
          <t>Balanced</t>
        </is>
      </c>
      <c r="L8" t="inlineStr">
        <is>
          <t>Normal</t>
        </is>
      </c>
      <c r="M8" t="inlineStr">
        <is>
          <t>Medium-block</t>
        </is>
      </c>
      <c r="N8" t="inlineStr">
        <is>
          <t>Balanced</t>
        </is>
      </c>
      <c r="O8" t="inlineStr">
        <is>
          <t>Balanced</t>
        </is>
      </c>
      <c r="P8" t="inlineStr">
        <is>
          <t>Compact</t>
        </is>
      </c>
      <c r="Q8" t="inlineStr">
        <is>
          <t>Balanced</t>
        </is>
      </c>
      <c r="R8" t="inlineStr">
        <is>
          <t>Balanced</t>
        </is>
      </c>
      <c r="S8" t="n">
        <v>89.5</v>
      </c>
      <c r="T8" t="n">
        <v>1.7</v>
      </c>
      <c r="U8" t="n">
        <v>1.43</v>
      </c>
      <c r="V8" t="n">
        <v>45.5</v>
      </c>
      <c r="W8" t="n">
        <v>1</v>
      </c>
      <c r="X8" t="n">
        <v>0</v>
      </c>
      <c r="Y8" t="inlineStr">
        <is>
          <t>V. Pavlidis 36', S. Dahl 77'</t>
        </is>
      </c>
    </row>
    <row r="9">
      <c r="A9" t="inlineStr">
        <is>
          <t>20261017-205523-3fa178c6</t>
        </is>
      </c>
      <c r="B9" t="inlineStr">
        <is>
          <t>Benfica</t>
        </is>
      </c>
      <c r="C9" t="n">
        <v>8</v>
      </c>
      <c r="D9" t="inlineStr">
        <is>
          <t>Home</t>
        </is>
      </c>
      <c r="E9" t="inlineStr">
        <is>
          <t>Casa Pia AC</t>
        </is>
      </c>
      <c r="F9" t="inlineStr">
        <is>
          <t>W</t>
        </is>
      </c>
      <c r="G9" t="n">
        <v>2</v>
      </c>
      <c r="H9" t="n">
        <v>0</v>
      </c>
      <c r="I9" t="inlineStr">
        <is>
          <t>2-0</t>
        </is>
      </c>
      <c r="J9" t="inlineStr">
        <is>
          <t>5-2-2-1</t>
        </is>
      </c>
      <c r="K9" t="inlineStr">
        <is>
          <t>Balanced</t>
        </is>
      </c>
      <c r="L9" t="inlineStr">
        <is>
          <t>Normal</t>
        </is>
      </c>
      <c r="M9" t="inlineStr">
        <is>
          <t>Medium-block</t>
        </is>
      </c>
      <c r="N9" t="inlineStr">
        <is>
          <t>Balanced</t>
        </is>
      </c>
      <c r="O9" t="inlineStr">
        <is>
          <t>Balanced</t>
        </is>
      </c>
      <c r="P9" t="inlineStr">
        <is>
          <t>Compact</t>
        </is>
      </c>
      <c r="Q9" t="inlineStr">
        <is>
          <t>Balanced</t>
        </is>
      </c>
      <c r="R9" t="inlineStr">
        <is>
          <t>Balanced</t>
        </is>
      </c>
      <c r="S9" t="n">
        <v>89.5</v>
      </c>
      <c r="T9" t="n">
        <v>1.9</v>
      </c>
      <c r="U9" t="n">
        <v>0.63</v>
      </c>
      <c r="V9" t="n">
        <v>67.90000000000001</v>
      </c>
      <c r="W9" t="n">
        <v>3</v>
      </c>
      <c r="X9" t="n">
        <v>0</v>
      </c>
      <c r="Y9" t="inlineStr">
        <is>
          <t>A. Schjelderup 86', Rafa Silva 89'</t>
        </is>
      </c>
    </row>
    <row r="10">
      <c r="A10" t="inlineStr">
        <is>
          <t>20261017-205523-3fa178c6</t>
        </is>
      </c>
      <c r="B10" t="inlineStr">
        <is>
          <t>Benfica</t>
        </is>
      </c>
      <c r="C10" t="n">
        <v>9</v>
      </c>
      <c r="D10" t="inlineStr">
        <is>
          <t>Away</t>
        </is>
      </c>
      <c r="E10" t="inlineStr">
        <is>
          <t>Académico de Viseu F.C.</t>
        </is>
      </c>
      <c r="F10" t="inlineStr">
        <is>
          <t>W</t>
        </is>
      </c>
      <c r="G10" t="n">
        <v>1</v>
      </c>
      <c r="H10" t="n">
        <v>0</v>
      </c>
      <c r="I10" t="inlineStr">
        <is>
          <t>1-0</t>
        </is>
      </c>
      <c r="J10" t="inlineStr">
        <is>
          <t>5-2-2-1</t>
        </is>
      </c>
      <c r="K10" t="inlineStr">
        <is>
          <t>Balanced</t>
        </is>
      </c>
      <c r="L10" t="inlineStr">
        <is>
          <t>Normal</t>
        </is>
      </c>
      <c r="M10" t="inlineStr">
        <is>
          <t>Medium-block</t>
        </is>
      </c>
      <c r="N10" t="inlineStr">
        <is>
          <t>Balanced</t>
        </is>
      </c>
      <c r="O10" t="inlineStr">
        <is>
          <t>Balanced</t>
        </is>
      </c>
      <c r="P10" t="inlineStr">
        <is>
          <t>Compact</t>
        </is>
      </c>
      <c r="Q10" t="inlineStr">
        <is>
          <t>Balanced</t>
        </is>
      </c>
      <c r="R10" t="inlineStr">
        <is>
          <t>Balanced</t>
        </is>
      </c>
      <c r="S10" t="n">
        <v>89.5</v>
      </c>
      <c r="T10" t="n">
        <v>1.86</v>
      </c>
      <c r="U10" t="n">
        <v>0.88</v>
      </c>
      <c r="V10" t="n">
        <v>73.90000000000001</v>
      </c>
      <c r="W10" t="n">
        <v>2</v>
      </c>
      <c r="X10" t="n">
        <v>0</v>
      </c>
      <c r="Y10" t="inlineStr">
        <is>
          <t>G. Prestianni 70'</t>
        </is>
      </c>
    </row>
    <row r="11">
      <c r="A11" t="inlineStr">
        <is>
          <t>20261017-205523-3fa178c6</t>
        </is>
      </c>
      <c r="B11" t="inlineStr">
        <is>
          <t>Benfica</t>
        </is>
      </c>
      <c r="C11" t="n">
        <v>10</v>
      </c>
      <c r="D11" t="inlineStr">
        <is>
          <t>Home</t>
        </is>
      </c>
      <c r="E11" t="inlineStr">
        <is>
          <t>Nacional</t>
        </is>
      </c>
      <c r="F11" t="inlineStr">
        <is>
          <t>W</t>
        </is>
      </c>
      <c r="G11" t="n">
        <v>4</v>
      </c>
      <c r="H11" t="n">
        <v>0</v>
      </c>
      <c r="I11" t="inlineStr">
        <is>
          <t>4-0</t>
        </is>
      </c>
      <c r="J11" t="inlineStr">
        <is>
          <t>5-2-2-1</t>
        </is>
      </c>
      <c r="K11" t="inlineStr">
        <is>
          <t>Balanced</t>
        </is>
      </c>
      <c r="L11" t="inlineStr">
        <is>
          <t>Normal</t>
        </is>
      </c>
      <c r="M11" t="inlineStr">
        <is>
          <t>Medium-block</t>
        </is>
      </c>
      <c r="N11" t="inlineStr">
        <is>
          <t>Balanced</t>
        </is>
      </c>
      <c r="O11" t="inlineStr">
        <is>
          <t>Balanced</t>
        </is>
      </c>
      <c r="P11" t="inlineStr">
        <is>
          <t>Compact</t>
        </is>
      </c>
      <c r="Q11" t="inlineStr">
        <is>
          <t>Balanced</t>
        </is>
      </c>
      <c r="R11" t="inlineStr">
        <is>
          <t>Balanced</t>
        </is>
      </c>
      <c r="S11" t="n">
        <v>89.5</v>
      </c>
      <c r="T11" t="n">
        <v>1.84</v>
      </c>
      <c r="U11" t="n">
        <v>0.6</v>
      </c>
      <c r="V11" t="n">
        <v>47.5</v>
      </c>
      <c r="W11" t="n">
        <v>1</v>
      </c>
      <c r="X11" t="n">
        <v>0</v>
      </c>
      <c r="Y11" t="inlineStr">
        <is>
          <t>V. Pavlidis 12', G. Prestianni 26', V. Pavlidis 71', V. Pavlidis 80'</t>
        </is>
      </c>
    </row>
    <row r="12">
      <c r="A12" t="inlineStr">
        <is>
          <t>20261017-205523-3fa178c6</t>
        </is>
      </c>
      <c r="B12" t="inlineStr">
        <is>
          <t>Benfica</t>
        </is>
      </c>
      <c r="C12" t="n">
        <v>11</v>
      </c>
      <c r="D12" t="inlineStr">
        <is>
          <t>Away</t>
        </is>
      </c>
      <c r="E12" t="inlineStr">
        <is>
          <t>Marítimo</t>
        </is>
      </c>
      <c r="F12" t="inlineStr">
        <is>
          <t>D</t>
        </is>
      </c>
      <c r="G12" t="n">
        <v>1</v>
      </c>
      <c r="H12" t="n">
        <v>1</v>
      </c>
      <c r="I12" t="inlineStr">
        <is>
          <t>1-1</t>
        </is>
      </c>
      <c r="J12" t="inlineStr">
        <is>
          <t>5-2-2-1</t>
        </is>
      </c>
      <c r="K12" t="inlineStr">
        <is>
          <t>Balanced</t>
        </is>
      </c>
      <c r="L12" t="inlineStr">
        <is>
          <t>Normal</t>
        </is>
      </c>
      <c r="M12" t="inlineStr">
        <is>
          <t>Medium-block</t>
        </is>
      </c>
      <c r="N12" t="inlineStr">
        <is>
          <t>Balanced</t>
        </is>
      </c>
      <c r="O12" t="inlineStr">
        <is>
          <t>Balanced</t>
        </is>
      </c>
      <c r="P12" t="inlineStr">
        <is>
          <t>Compact</t>
        </is>
      </c>
      <c r="Q12" t="inlineStr">
        <is>
          <t>Balanced</t>
        </is>
      </c>
      <c r="R12" t="inlineStr">
        <is>
          <t>Balanced</t>
        </is>
      </c>
      <c r="S12" t="n">
        <v>89.5</v>
      </c>
      <c r="T12" t="n">
        <v>1.95</v>
      </c>
      <c r="U12" t="n">
        <v>1.09</v>
      </c>
      <c r="V12" t="n">
        <v>58.9</v>
      </c>
      <c r="W12" t="n">
        <v>1</v>
      </c>
      <c r="X12" t="n">
        <v>0</v>
      </c>
      <c r="Y12" t="inlineStr">
        <is>
          <t>A. Schjelderup 38'</t>
        </is>
      </c>
    </row>
    <row r="13">
      <c r="A13" t="inlineStr">
        <is>
          <t>20261017-205523-3fa178c6</t>
        </is>
      </c>
      <c r="B13" t="inlineStr">
        <is>
          <t>Benfica</t>
        </is>
      </c>
      <c r="C13" t="n">
        <v>12</v>
      </c>
      <c r="D13" t="inlineStr">
        <is>
          <t>Away</t>
        </is>
      </c>
      <c r="E13" t="inlineStr">
        <is>
          <t>Santa Clara</t>
        </is>
      </c>
      <c r="F13" t="inlineStr">
        <is>
          <t>D</t>
        </is>
      </c>
      <c r="G13" t="n">
        <v>1</v>
      </c>
      <c r="H13" t="n">
        <v>1</v>
      </c>
      <c r="I13" t="inlineStr">
        <is>
          <t>1-1</t>
        </is>
      </c>
      <c r="J13" t="inlineStr">
        <is>
          <t>5-2-2-1</t>
        </is>
      </c>
      <c r="K13" t="inlineStr">
        <is>
          <t>Balanced</t>
        </is>
      </c>
      <c r="L13" t="inlineStr">
        <is>
          <t>Normal</t>
        </is>
      </c>
      <c r="M13" t="inlineStr">
        <is>
          <t>Medium-block</t>
        </is>
      </c>
      <c r="N13" t="inlineStr">
        <is>
          <t>Balanced</t>
        </is>
      </c>
      <c r="O13" t="inlineStr">
        <is>
          <t>Balanced</t>
        </is>
      </c>
      <c r="P13" t="inlineStr">
        <is>
          <t>Compact</t>
        </is>
      </c>
      <c r="Q13" t="inlineStr">
        <is>
          <t>Balanced</t>
        </is>
      </c>
      <c r="R13" t="inlineStr">
        <is>
          <t>Balanced</t>
        </is>
      </c>
      <c r="S13" t="n">
        <v>89.5</v>
      </c>
      <c r="T13" t="n">
        <v>1.56</v>
      </c>
      <c r="U13" t="n">
        <v>0.89</v>
      </c>
      <c r="V13" t="n">
        <v>51.3</v>
      </c>
      <c r="W13" t="n">
        <v>0</v>
      </c>
      <c r="X13" t="n">
        <v>0</v>
      </c>
      <c r="Y13" t="inlineStr">
        <is>
          <t>João Palhinha 33'</t>
        </is>
      </c>
    </row>
    <row r="14">
      <c r="A14" t="inlineStr">
        <is>
          <t>20261017-205523-3fa178c6</t>
        </is>
      </c>
      <c r="B14" t="inlineStr">
        <is>
          <t>Benfica</t>
        </is>
      </c>
      <c r="C14" t="n">
        <v>13</v>
      </c>
      <c r="D14" t="inlineStr">
        <is>
          <t>Home</t>
        </is>
      </c>
      <c r="E14" t="inlineStr">
        <is>
          <t>Famalicão</t>
        </is>
      </c>
      <c r="F14" t="inlineStr">
        <is>
          <t>W</t>
        </is>
      </c>
      <c r="G14" t="n">
        <v>3</v>
      </c>
      <c r="H14" t="n">
        <v>2</v>
      </c>
      <c r="I14" t="inlineStr">
        <is>
          <t>3-2</t>
        </is>
      </c>
      <c r="J14" t="inlineStr">
        <is>
          <t>5-2-2-1</t>
        </is>
      </c>
      <c r="K14" t="inlineStr">
        <is>
          <t>Balanced</t>
        </is>
      </c>
      <c r="L14" t="inlineStr">
        <is>
          <t>Normal</t>
        </is>
      </c>
      <c r="M14" t="inlineStr">
        <is>
          <t>Medium-block</t>
        </is>
      </c>
      <c r="N14" t="inlineStr">
        <is>
          <t>Balanced</t>
        </is>
      </c>
      <c r="O14" t="inlineStr">
        <is>
          <t>Balanced</t>
        </is>
      </c>
      <c r="P14" t="inlineStr">
        <is>
          <t>Compact</t>
        </is>
      </c>
      <c r="Q14" t="inlineStr">
        <is>
          <t>Balanced</t>
        </is>
      </c>
      <c r="R14" t="inlineStr">
        <is>
          <t>Balanced</t>
        </is>
      </c>
      <c r="S14" t="n">
        <v>89.5</v>
      </c>
      <c r="T14" t="n">
        <v>2.14</v>
      </c>
      <c r="U14" t="n">
        <v>0.86</v>
      </c>
      <c r="V14" t="n">
        <v>48</v>
      </c>
      <c r="W14" t="n">
        <v>1</v>
      </c>
      <c r="X14" t="n">
        <v>0</v>
      </c>
      <c r="Y14" t="inlineStr">
        <is>
          <t>A. Schjelderup 4', A. Schjelderup 40', G. Prestianni 85'</t>
        </is>
      </c>
    </row>
    <row r="15">
      <c r="A15" t="inlineStr">
        <is>
          <t>20261017-205523-3fa178c6</t>
        </is>
      </c>
      <c r="B15" t="inlineStr">
        <is>
          <t>Benfica</t>
        </is>
      </c>
      <c r="C15" t="n">
        <v>14</v>
      </c>
      <c r="D15" t="inlineStr">
        <is>
          <t>Away</t>
        </is>
      </c>
      <c r="E15" t="inlineStr">
        <is>
          <t>Vitória SC</t>
        </is>
      </c>
      <c r="F15" t="inlineStr">
        <is>
          <t>D</t>
        </is>
      </c>
      <c r="G15" t="n">
        <v>1</v>
      </c>
      <c r="H15" t="n">
        <v>1</v>
      </c>
      <c r="I15" t="inlineStr">
        <is>
          <t>1-1</t>
        </is>
      </c>
      <c r="J15" t="inlineStr">
        <is>
          <t>5-2-2-1</t>
        </is>
      </c>
      <c r="K15" t="inlineStr">
        <is>
          <t>Balanced</t>
        </is>
      </c>
      <c r="L15" t="inlineStr">
        <is>
          <t>Normal</t>
        </is>
      </c>
      <c r="M15" t="inlineStr">
        <is>
          <t>Medium-block</t>
        </is>
      </c>
      <c r="N15" t="inlineStr">
        <is>
          <t>Balanced</t>
        </is>
      </c>
      <c r="O15" t="inlineStr">
        <is>
          <t>Balanced</t>
        </is>
      </c>
      <c r="P15" t="inlineStr">
        <is>
          <t>Compact</t>
        </is>
      </c>
      <c r="Q15" t="inlineStr">
        <is>
          <t>Balanced</t>
        </is>
      </c>
      <c r="R15" t="inlineStr">
        <is>
          <t>Balanced</t>
        </is>
      </c>
      <c r="S15" t="n">
        <v>89.5</v>
      </c>
      <c r="T15" t="n">
        <v>1.51</v>
      </c>
      <c r="U15" t="n">
        <v>1.43</v>
      </c>
      <c r="V15" t="n">
        <v>36.9</v>
      </c>
      <c r="W15" t="n">
        <v>2</v>
      </c>
      <c r="X15" t="n">
        <v>0</v>
      </c>
      <c r="Y15" t="inlineStr">
        <is>
          <t>A. Schjelderup 5'</t>
        </is>
      </c>
    </row>
    <row r="16">
      <c r="A16" t="inlineStr">
        <is>
          <t>20261017-205523-3fa178c6</t>
        </is>
      </c>
      <c r="B16" t="inlineStr">
        <is>
          <t>Benfica</t>
        </is>
      </c>
      <c r="C16" t="n">
        <v>15</v>
      </c>
      <c r="D16" t="inlineStr">
        <is>
          <t>Home</t>
        </is>
      </c>
      <c r="E16" t="inlineStr">
        <is>
          <t>Moreirense</t>
        </is>
      </c>
      <c r="F16" t="inlineStr">
        <is>
          <t>D</t>
        </is>
      </c>
      <c r="G16" t="n">
        <v>2</v>
      </c>
      <c r="H16" t="n">
        <v>2</v>
      </c>
      <c r="I16" t="inlineStr">
        <is>
          <t>2-2</t>
        </is>
      </c>
      <c r="J16" t="inlineStr">
        <is>
          <t>5-2-2-1</t>
        </is>
      </c>
      <c r="K16" t="inlineStr">
        <is>
          <t>Balanced</t>
        </is>
      </c>
      <c r="L16" t="inlineStr">
        <is>
          <t>Normal</t>
        </is>
      </c>
      <c r="M16" t="inlineStr">
        <is>
          <t>Medium-block</t>
        </is>
      </c>
      <c r="N16" t="inlineStr">
        <is>
          <t>Balanced</t>
        </is>
      </c>
      <c r="O16" t="inlineStr">
        <is>
          <t>Balanced</t>
        </is>
      </c>
      <c r="P16" t="inlineStr">
        <is>
          <t>Compact</t>
        </is>
      </c>
      <c r="Q16" t="inlineStr">
        <is>
          <t>Balanced</t>
        </is>
      </c>
      <c r="R16" t="inlineStr">
        <is>
          <t>Balanced</t>
        </is>
      </c>
      <c r="S16" t="n">
        <v>89.5</v>
      </c>
      <c r="T16" t="n">
        <v>2.31</v>
      </c>
      <c r="U16" t="n">
        <v>0.76</v>
      </c>
      <c r="V16" t="n">
        <v>52.2</v>
      </c>
      <c r="W16" t="n">
        <v>1</v>
      </c>
      <c r="X16" t="n">
        <v>0</v>
      </c>
      <c r="Y16" t="inlineStr">
        <is>
          <t>V. Pavlidis 3', S. El Karouani 18'</t>
        </is>
      </c>
    </row>
    <row r="17">
      <c r="A17" t="inlineStr">
        <is>
          <t>20261017-205523-3fa178c6</t>
        </is>
      </c>
      <c r="B17" t="inlineStr">
        <is>
          <t>Benfica</t>
        </is>
      </c>
      <c r="C17" t="n">
        <v>16</v>
      </c>
      <c r="D17" t="inlineStr">
        <is>
          <t>Away</t>
        </is>
      </c>
      <c r="E17" t="inlineStr">
        <is>
          <t>Gil Vicente</t>
        </is>
      </c>
      <c r="F17" t="inlineStr">
        <is>
          <t>W</t>
        </is>
      </c>
      <c r="G17" t="n">
        <v>3</v>
      </c>
      <c r="H17" t="n">
        <v>1</v>
      </c>
      <c r="I17" t="inlineStr">
        <is>
          <t>3-1</t>
        </is>
      </c>
      <c r="J17" t="inlineStr">
        <is>
          <t>5-2-2-1</t>
        </is>
      </c>
      <c r="K17" t="inlineStr">
        <is>
          <t>Balanced</t>
        </is>
      </c>
      <c r="L17" t="inlineStr">
        <is>
          <t>Normal</t>
        </is>
      </c>
      <c r="M17" t="inlineStr">
        <is>
          <t>Medium-block</t>
        </is>
      </c>
      <c r="N17" t="inlineStr">
        <is>
          <t>Balanced</t>
        </is>
      </c>
      <c r="O17" t="inlineStr">
        <is>
          <t>Balanced</t>
        </is>
      </c>
      <c r="P17" t="inlineStr">
        <is>
          <t>Compact</t>
        </is>
      </c>
      <c r="Q17" t="inlineStr">
        <is>
          <t>Balanced</t>
        </is>
      </c>
      <c r="R17" t="inlineStr">
        <is>
          <t>Balanced</t>
        </is>
      </c>
      <c r="S17" t="n">
        <v>89.5</v>
      </c>
      <c r="T17" t="n">
        <v>1.95</v>
      </c>
      <c r="U17" t="n">
        <v>1.77</v>
      </c>
      <c r="V17" t="n">
        <v>48.6</v>
      </c>
      <c r="W17" t="n">
        <v>0</v>
      </c>
      <c r="X17" t="n">
        <v>0</v>
      </c>
      <c r="Y17" t="inlineStr">
        <is>
          <t>G. Prestianni 6', A. Schjelderup 34', A. Schjelderup 58'</t>
        </is>
      </c>
    </row>
    <row r="18">
      <c r="A18" t="inlineStr">
        <is>
          <t>20261017-205523-3fa178c6</t>
        </is>
      </c>
      <c r="B18" t="inlineStr">
        <is>
          <t>Benfica</t>
        </is>
      </c>
      <c r="C18" t="n">
        <v>17</v>
      </c>
      <c r="D18" t="inlineStr">
        <is>
          <t>Home</t>
        </is>
      </c>
      <c r="E18" t="inlineStr">
        <is>
          <t>Porto</t>
        </is>
      </c>
      <c r="F18" t="inlineStr">
        <is>
          <t>D</t>
        </is>
      </c>
      <c r="G18" t="n">
        <v>0</v>
      </c>
      <c r="H18" t="n">
        <v>0</v>
      </c>
      <c r="I18" t="inlineStr">
        <is>
          <t>0-0</t>
        </is>
      </c>
      <c r="J18" t="inlineStr">
        <is>
          <t>5-2-2-1</t>
        </is>
      </c>
      <c r="K18" t="inlineStr">
        <is>
          <t>Balanced</t>
        </is>
      </c>
      <c r="L18" t="inlineStr">
        <is>
          <t>Normal</t>
        </is>
      </c>
      <c r="M18" t="inlineStr">
        <is>
          <t>Medium-block</t>
        </is>
      </c>
      <c r="N18" t="inlineStr">
        <is>
          <t>Balanced</t>
        </is>
      </c>
      <c r="O18" t="inlineStr">
        <is>
          <t>Balanced</t>
        </is>
      </c>
      <c r="P18" t="inlineStr">
        <is>
          <t>Compact</t>
        </is>
      </c>
      <c r="Q18" t="inlineStr">
        <is>
          <t>Balanced</t>
        </is>
      </c>
      <c r="R18" t="inlineStr">
        <is>
          <t>Balanced</t>
        </is>
      </c>
      <c r="S18" t="n">
        <v>89.5</v>
      </c>
      <c r="T18" t="n">
        <v>1.72</v>
      </c>
      <c r="U18" t="n">
        <v>1.26</v>
      </c>
      <c r="V18" t="n">
        <v>30.8</v>
      </c>
      <c r="W18" t="n">
        <v>1</v>
      </c>
      <c r="X18" t="n">
        <v>0</v>
      </c>
      <c r="Y18" t="inlineStr"/>
    </row>
    <row r="19">
      <c r="A19" t="inlineStr">
        <is>
          <t>20261017-205523-3fa178c6</t>
        </is>
      </c>
      <c r="B19" t="inlineStr">
        <is>
          <t>Benfica</t>
        </is>
      </c>
      <c r="C19" t="n">
        <v>18</v>
      </c>
      <c r="D19" t="inlineStr">
        <is>
          <t>Away</t>
        </is>
      </c>
      <c r="E19" t="inlineStr">
        <is>
          <t>Estoril</t>
        </is>
      </c>
      <c r="F19" t="inlineStr">
        <is>
          <t>L</t>
        </is>
      </c>
      <c r="G19" t="n">
        <v>0</v>
      </c>
      <c r="H19" t="n">
        <v>1</v>
      </c>
      <c r="I19" t="inlineStr">
        <is>
          <t>0-1</t>
        </is>
      </c>
      <c r="J19" t="inlineStr">
        <is>
          <t>5-2-2-1</t>
        </is>
      </c>
      <c r="K19" t="inlineStr">
        <is>
          <t>Balanced</t>
        </is>
      </c>
      <c r="L19" t="inlineStr">
        <is>
          <t>Normal</t>
        </is>
      </c>
      <c r="M19" t="inlineStr">
        <is>
          <t>Medium-block</t>
        </is>
      </c>
      <c r="N19" t="inlineStr">
        <is>
          <t>Balanced</t>
        </is>
      </c>
      <c r="O19" t="inlineStr">
        <is>
          <t>Balanced</t>
        </is>
      </c>
      <c r="P19" t="inlineStr">
        <is>
          <t>Compact</t>
        </is>
      </c>
      <c r="Q19" t="inlineStr">
        <is>
          <t>Balanced</t>
        </is>
      </c>
      <c r="R19" t="inlineStr">
        <is>
          <t>Balanced</t>
        </is>
      </c>
      <c r="S19" t="n">
        <v>89.5</v>
      </c>
      <c r="T19" t="n">
        <v>1.87</v>
      </c>
      <c r="U19" t="n">
        <v>1.18</v>
      </c>
      <c r="V19" t="n">
        <v>61.2</v>
      </c>
      <c r="W19" t="n">
        <v>2</v>
      </c>
      <c r="X19" t="n">
        <v>0</v>
      </c>
      <c r="Y19" t="inlineStr"/>
    </row>
    <row r="20">
      <c r="A20" t="inlineStr">
        <is>
          <t>20261017-205523-3fa178c6</t>
        </is>
      </c>
      <c r="B20" t="inlineStr">
        <is>
          <t>Benfica</t>
        </is>
      </c>
      <c r="C20" t="n">
        <v>19</v>
      </c>
      <c r="D20" t="inlineStr">
        <is>
          <t>Home</t>
        </is>
      </c>
      <c r="E20" t="inlineStr">
        <is>
          <t>Alverca</t>
        </is>
      </c>
      <c r="F20" t="inlineStr">
        <is>
          <t>W</t>
        </is>
      </c>
      <c r="G20" t="n">
        <v>2</v>
      </c>
      <c r="H20" t="n">
        <v>1</v>
      </c>
      <c r="I20" t="inlineStr">
        <is>
          <t>2-1</t>
        </is>
      </c>
      <c r="J20" t="inlineStr">
        <is>
          <t>5-2-2-1</t>
        </is>
      </c>
      <c r="K20" t="inlineStr">
        <is>
          <t>Balanced</t>
        </is>
      </c>
      <c r="L20" t="inlineStr">
        <is>
          <t>Normal</t>
        </is>
      </c>
      <c r="M20" t="inlineStr">
        <is>
          <t>Medium-block</t>
        </is>
      </c>
      <c r="N20" t="inlineStr">
        <is>
          <t>Balanced</t>
        </is>
      </c>
      <c r="O20" t="inlineStr">
        <is>
          <t>Balanced</t>
        </is>
      </c>
      <c r="P20" t="inlineStr">
        <is>
          <t>Compact</t>
        </is>
      </c>
      <c r="Q20" t="inlineStr">
        <is>
          <t>Balanced</t>
        </is>
      </c>
      <c r="R20" t="inlineStr">
        <is>
          <t>Balanced</t>
        </is>
      </c>
      <c r="S20" t="n">
        <v>89.5</v>
      </c>
      <c r="T20" t="n">
        <v>2.81</v>
      </c>
      <c r="U20" t="n">
        <v>0.84</v>
      </c>
      <c r="V20" t="n">
        <v>50.2</v>
      </c>
      <c r="W20" t="n">
        <v>1</v>
      </c>
      <c r="X20" t="n">
        <v>0</v>
      </c>
      <c r="Y20" t="inlineStr">
        <is>
          <t>A. Schjelderup 48', G. Prestianni 52'</t>
        </is>
      </c>
    </row>
    <row r="21">
      <c r="A21" t="inlineStr">
        <is>
          <t>20261017-205523-3fa178c6</t>
        </is>
      </c>
      <c r="B21" t="inlineStr">
        <is>
          <t>Benfica</t>
        </is>
      </c>
      <c r="C21" t="n">
        <v>20</v>
      </c>
      <c r="D21" t="inlineStr">
        <is>
          <t>Home</t>
        </is>
      </c>
      <c r="E21" t="inlineStr">
        <is>
          <t>Sporting CP</t>
        </is>
      </c>
      <c r="F21" t="inlineStr">
        <is>
          <t>W</t>
        </is>
      </c>
      <c r="G21" t="n">
        <v>1</v>
      </c>
      <c r="H21" t="n">
        <v>0</v>
      </c>
      <c r="I21" t="inlineStr">
        <is>
          <t>1-0</t>
        </is>
      </c>
      <c r="J21" t="inlineStr">
        <is>
          <t>5-2-2-1</t>
        </is>
      </c>
      <c r="K21" t="inlineStr">
        <is>
          <t>Balanced</t>
        </is>
      </c>
      <c r="L21" t="inlineStr">
        <is>
          <t>Normal</t>
        </is>
      </c>
      <c r="M21" t="inlineStr">
        <is>
          <t>Medium-block</t>
        </is>
      </c>
      <c r="N21" t="inlineStr">
        <is>
          <t>Balanced</t>
        </is>
      </c>
      <c r="O21" t="inlineStr">
        <is>
          <t>Balanced</t>
        </is>
      </c>
      <c r="P21" t="inlineStr">
        <is>
          <t>Compact</t>
        </is>
      </c>
      <c r="Q21" t="inlineStr">
        <is>
          <t>Balanced</t>
        </is>
      </c>
      <c r="R21" t="inlineStr">
        <is>
          <t>Balanced</t>
        </is>
      </c>
      <c r="S21" t="n">
        <v>89.5</v>
      </c>
      <c r="T21" t="n">
        <v>1.83</v>
      </c>
      <c r="U21" t="n">
        <v>2.11</v>
      </c>
      <c r="V21" t="n">
        <v>45.3</v>
      </c>
      <c r="W21" t="n">
        <v>2</v>
      </c>
      <c r="X21" t="n">
        <v>0</v>
      </c>
      <c r="Y21" t="inlineStr">
        <is>
          <t>F. Aursnes 21'</t>
        </is>
      </c>
    </row>
    <row r="22">
      <c r="A22" t="inlineStr">
        <is>
          <t>20261017-205523-3fa178c6</t>
        </is>
      </c>
      <c r="B22" t="inlineStr">
        <is>
          <t>Benfica</t>
        </is>
      </c>
      <c r="C22" t="n">
        <v>21</v>
      </c>
      <c r="D22" t="inlineStr">
        <is>
          <t>Away</t>
        </is>
      </c>
      <c r="E22" t="inlineStr">
        <is>
          <t>Rio Ave</t>
        </is>
      </c>
      <c r="F22" t="inlineStr">
        <is>
          <t>W</t>
        </is>
      </c>
      <c r="G22" t="n">
        <v>4</v>
      </c>
      <c r="H22" t="n">
        <v>2</v>
      </c>
      <c r="I22" t="inlineStr">
        <is>
          <t>4-2</t>
        </is>
      </c>
      <c r="J22" t="inlineStr">
        <is>
          <t>5-2-2-1</t>
        </is>
      </c>
      <c r="K22" t="inlineStr">
        <is>
          <t>Balanced</t>
        </is>
      </c>
      <c r="L22" t="inlineStr">
        <is>
          <t>Normal</t>
        </is>
      </c>
      <c r="M22" t="inlineStr">
        <is>
          <t>Medium-block</t>
        </is>
      </c>
      <c r="N22" t="inlineStr">
        <is>
          <t>Balanced</t>
        </is>
      </c>
      <c r="O22" t="inlineStr">
        <is>
          <t>Balanced</t>
        </is>
      </c>
      <c r="P22" t="inlineStr">
        <is>
          <t>Compact</t>
        </is>
      </c>
      <c r="Q22" t="inlineStr">
        <is>
          <t>Balanced</t>
        </is>
      </c>
      <c r="R22" t="inlineStr">
        <is>
          <t>Balanced</t>
        </is>
      </c>
      <c r="S22" t="n">
        <v>89.5</v>
      </c>
      <c r="T22" t="n">
        <v>2.34</v>
      </c>
      <c r="U22" t="n">
        <v>1.7</v>
      </c>
      <c r="V22" t="n">
        <v>45.2</v>
      </c>
      <c r="W22" t="n">
        <v>1</v>
      </c>
      <c r="X22" t="n">
        <v>0</v>
      </c>
      <c r="Y22" t="inlineStr">
        <is>
          <t>G. Prestianni 36', G. Prestianni 60', Rafa Silva 78', Rafa Silva 83'</t>
        </is>
      </c>
    </row>
    <row r="23">
      <c r="A23" t="inlineStr">
        <is>
          <t>20261017-205523-3fa178c6</t>
        </is>
      </c>
      <c r="B23" t="inlineStr">
        <is>
          <t>Benfica</t>
        </is>
      </c>
      <c r="C23" t="n">
        <v>22</v>
      </c>
      <c r="D23" t="inlineStr">
        <is>
          <t>Home</t>
        </is>
      </c>
      <c r="E23" t="inlineStr">
        <is>
          <t>SC Braga</t>
        </is>
      </c>
      <c r="F23" t="inlineStr">
        <is>
          <t>W</t>
        </is>
      </c>
      <c r="G23" t="n">
        <v>1</v>
      </c>
      <c r="H23" t="n">
        <v>0</v>
      </c>
      <c r="I23" t="inlineStr">
        <is>
          <t>1-0</t>
        </is>
      </c>
      <c r="J23" t="inlineStr">
        <is>
          <t>5-2-2-1</t>
        </is>
      </c>
      <c r="K23" t="inlineStr">
        <is>
          <t>Balanced</t>
        </is>
      </c>
      <c r="L23" t="inlineStr">
        <is>
          <t>Normal</t>
        </is>
      </c>
      <c r="M23" t="inlineStr">
        <is>
          <t>Medium-block</t>
        </is>
      </c>
      <c r="N23" t="inlineStr">
        <is>
          <t>Balanced</t>
        </is>
      </c>
      <c r="O23" t="inlineStr">
        <is>
          <t>Balanced</t>
        </is>
      </c>
      <c r="P23" t="inlineStr">
        <is>
          <t>Compact</t>
        </is>
      </c>
      <c r="Q23" t="inlineStr">
        <is>
          <t>Balanced</t>
        </is>
      </c>
      <c r="R23" t="inlineStr">
        <is>
          <t>Balanced</t>
        </is>
      </c>
      <c r="S23" t="n">
        <v>89.5</v>
      </c>
      <c r="T23" t="n">
        <v>1.67</v>
      </c>
      <c r="U23" t="n">
        <v>1.16</v>
      </c>
      <c r="V23" t="n">
        <v>30.5</v>
      </c>
      <c r="W23" t="n">
        <v>0</v>
      </c>
      <c r="X23" t="n">
        <v>0</v>
      </c>
      <c r="Y23" t="inlineStr">
        <is>
          <t>V. Pavlidis 10'</t>
        </is>
      </c>
    </row>
    <row r="24">
      <c r="A24" t="inlineStr">
        <is>
          <t>20261017-205523-3fa178c6</t>
        </is>
      </c>
      <c r="B24" t="inlineStr">
        <is>
          <t>Benfica</t>
        </is>
      </c>
      <c r="C24" t="n">
        <v>23</v>
      </c>
      <c r="D24" t="inlineStr">
        <is>
          <t>Away</t>
        </is>
      </c>
      <c r="E24" t="inlineStr">
        <is>
          <t>Estrela Amadora</t>
        </is>
      </c>
      <c r="F24" t="inlineStr">
        <is>
          <t>L</t>
        </is>
      </c>
      <c r="G24" t="n">
        <v>3</v>
      </c>
      <c r="H24" t="n">
        <v>4</v>
      </c>
      <c r="I24" t="inlineStr">
        <is>
          <t>3-4</t>
        </is>
      </c>
      <c r="J24" t="inlineStr">
        <is>
          <t>5-2-2-1</t>
        </is>
      </c>
      <c r="K24" t="inlineStr">
        <is>
          <t>Balanced</t>
        </is>
      </c>
      <c r="L24" t="inlineStr">
        <is>
          <t>Normal</t>
        </is>
      </c>
      <c r="M24" t="inlineStr">
        <is>
          <t>Medium-block</t>
        </is>
      </c>
      <c r="N24" t="inlineStr">
        <is>
          <t>Balanced</t>
        </is>
      </c>
      <c r="O24" t="inlineStr">
        <is>
          <t>Balanced</t>
        </is>
      </c>
      <c r="P24" t="inlineStr">
        <is>
          <t>Compact</t>
        </is>
      </c>
      <c r="Q24" t="inlineStr">
        <is>
          <t>Balanced</t>
        </is>
      </c>
      <c r="R24" t="inlineStr">
        <is>
          <t>Balanced</t>
        </is>
      </c>
      <c r="S24" t="n">
        <v>89.5</v>
      </c>
      <c r="T24" t="n">
        <v>1.47</v>
      </c>
      <c r="U24" t="n">
        <v>1.06</v>
      </c>
      <c r="V24" t="n">
        <v>62.4</v>
      </c>
      <c r="W24" t="n">
        <v>2</v>
      </c>
      <c r="X24" t="n">
        <v>0</v>
      </c>
      <c r="Y24" t="inlineStr">
        <is>
          <t>A. Schjelderup 8', F. Aursnes 25', José Neto 76'</t>
        </is>
      </c>
    </row>
    <row r="25">
      <c r="A25" t="inlineStr">
        <is>
          <t>20261017-205523-3fa178c6</t>
        </is>
      </c>
      <c r="B25" t="inlineStr">
        <is>
          <t>Benfica</t>
        </is>
      </c>
      <c r="C25" t="n">
        <v>24</v>
      </c>
      <c r="D25" t="inlineStr">
        <is>
          <t>Home</t>
        </is>
      </c>
      <c r="E25" t="inlineStr">
        <is>
          <t>Arouca</t>
        </is>
      </c>
      <c r="F25" t="inlineStr">
        <is>
          <t>W</t>
        </is>
      </c>
      <c r="G25" t="n">
        <v>2</v>
      </c>
      <c r="H25" t="n">
        <v>1</v>
      </c>
      <c r="I25" t="inlineStr">
        <is>
          <t>2-1</t>
        </is>
      </c>
      <c r="J25" t="inlineStr">
        <is>
          <t>5-2-2-1</t>
        </is>
      </c>
      <c r="K25" t="inlineStr">
        <is>
          <t>Balanced</t>
        </is>
      </c>
      <c r="L25" t="inlineStr">
        <is>
          <t>Normal</t>
        </is>
      </c>
      <c r="M25" t="inlineStr">
        <is>
          <t>Medium-block</t>
        </is>
      </c>
      <c r="N25" t="inlineStr">
        <is>
          <t>Balanced</t>
        </is>
      </c>
      <c r="O25" t="inlineStr">
        <is>
          <t>Balanced</t>
        </is>
      </c>
      <c r="P25" t="inlineStr">
        <is>
          <t>Compact</t>
        </is>
      </c>
      <c r="Q25" t="inlineStr">
        <is>
          <t>Balanced</t>
        </is>
      </c>
      <c r="R25" t="inlineStr">
        <is>
          <t>Balanced</t>
        </is>
      </c>
      <c r="S25" t="n">
        <v>89.5</v>
      </c>
      <c r="T25" t="n">
        <v>1.48</v>
      </c>
      <c r="U25" t="n">
        <v>0.58</v>
      </c>
      <c r="V25" t="n">
        <v>55.3</v>
      </c>
      <c r="W25" t="n">
        <v>0</v>
      </c>
      <c r="X25" t="n">
        <v>1</v>
      </c>
      <c r="Y25" t="inlineStr">
        <is>
          <t>José Neto 78', V. Pavlidis 84'</t>
        </is>
      </c>
    </row>
    <row r="26">
      <c r="A26" t="inlineStr">
        <is>
          <t>20261017-205523-3fa178c6</t>
        </is>
      </c>
      <c r="B26" t="inlineStr">
        <is>
          <t>Benfica</t>
        </is>
      </c>
      <c r="C26" t="n">
        <v>25</v>
      </c>
      <c r="D26" t="inlineStr">
        <is>
          <t>Away</t>
        </is>
      </c>
      <c r="E26" t="inlineStr">
        <is>
          <t>Casa Pia AC</t>
        </is>
      </c>
      <c r="F26" t="inlineStr">
        <is>
          <t>W</t>
        </is>
      </c>
      <c r="G26" t="n">
        <v>2</v>
      </c>
      <c r="H26" t="n">
        <v>0</v>
      </c>
      <c r="I26" t="inlineStr">
        <is>
          <t>2-0</t>
        </is>
      </c>
      <c r="J26" t="inlineStr">
        <is>
          <t>5-2-2-1</t>
        </is>
      </c>
      <c r="K26" t="inlineStr">
        <is>
          <t>Balanced</t>
        </is>
      </c>
      <c r="L26" t="inlineStr">
        <is>
          <t>Normal</t>
        </is>
      </c>
      <c r="M26" t="inlineStr">
        <is>
          <t>Medium-block</t>
        </is>
      </c>
      <c r="N26" t="inlineStr">
        <is>
          <t>Balanced</t>
        </is>
      </c>
      <c r="O26" t="inlineStr">
        <is>
          <t>Balanced</t>
        </is>
      </c>
      <c r="P26" t="inlineStr">
        <is>
          <t>Compact</t>
        </is>
      </c>
      <c r="Q26" t="inlineStr">
        <is>
          <t>Balanced</t>
        </is>
      </c>
      <c r="R26" t="inlineStr">
        <is>
          <t>Balanced</t>
        </is>
      </c>
      <c r="S26" t="n">
        <v>89.90000000000001</v>
      </c>
      <c r="T26" t="n">
        <v>1.68</v>
      </c>
      <c r="U26" t="n">
        <v>0.8</v>
      </c>
      <c r="V26" t="n">
        <v>50.4</v>
      </c>
      <c r="W26" t="n">
        <v>0</v>
      </c>
      <c r="X26" t="n">
        <v>0</v>
      </c>
      <c r="Y26" t="inlineStr">
        <is>
          <t>V. Pavlidis 14', G. Prestianni 35'</t>
        </is>
      </c>
    </row>
    <row r="27">
      <c r="A27" t="inlineStr">
        <is>
          <t>20261017-205523-3fa178c6</t>
        </is>
      </c>
      <c r="B27" t="inlineStr">
        <is>
          <t>Benfica</t>
        </is>
      </c>
      <c r="C27" t="n">
        <v>26</v>
      </c>
      <c r="D27" t="inlineStr">
        <is>
          <t>Home</t>
        </is>
      </c>
      <c r="E27" t="inlineStr">
        <is>
          <t>Académico de Viseu F.C.</t>
        </is>
      </c>
      <c r="F27" t="inlineStr">
        <is>
          <t>W</t>
        </is>
      </c>
      <c r="G27" t="n">
        <v>2</v>
      </c>
      <c r="H27" t="n">
        <v>0</v>
      </c>
      <c r="I27" t="inlineStr">
        <is>
          <t>2-0</t>
        </is>
      </c>
      <c r="J27" t="inlineStr">
        <is>
          <t>5-2-2-1</t>
        </is>
      </c>
      <c r="K27" t="inlineStr">
        <is>
          <t>Balanced</t>
        </is>
      </c>
      <c r="L27" t="inlineStr">
        <is>
          <t>Normal</t>
        </is>
      </c>
      <c r="M27" t="inlineStr">
        <is>
          <t>Medium-block</t>
        </is>
      </c>
      <c r="N27" t="inlineStr">
        <is>
          <t>Balanced</t>
        </is>
      </c>
      <c r="O27" t="inlineStr">
        <is>
          <t>Balanced</t>
        </is>
      </c>
      <c r="P27" t="inlineStr">
        <is>
          <t>Compact</t>
        </is>
      </c>
      <c r="Q27" t="inlineStr">
        <is>
          <t>Balanced</t>
        </is>
      </c>
      <c r="R27" t="inlineStr">
        <is>
          <t>Balanced</t>
        </is>
      </c>
      <c r="S27" t="n">
        <v>89.90000000000001</v>
      </c>
      <c r="T27" t="n">
        <v>3.16</v>
      </c>
      <c r="U27" t="n">
        <v>0.95</v>
      </c>
      <c r="V27" t="n">
        <v>54.3</v>
      </c>
      <c r="W27" t="n">
        <v>2</v>
      </c>
      <c r="X27" t="n">
        <v>0</v>
      </c>
      <c r="Y27" t="inlineStr">
        <is>
          <t>V. Pavlidis 73', V. Pavlidis 75'</t>
        </is>
      </c>
    </row>
    <row r="28">
      <c r="A28" t="inlineStr">
        <is>
          <t>20261017-205523-3fa178c6</t>
        </is>
      </c>
      <c r="B28" t="inlineStr">
        <is>
          <t>Benfica</t>
        </is>
      </c>
      <c r="C28" t="n">
        <v>27</v>
      </c>
      <c r="D28" t="inlineStr">
        <is>
          <t>Away</t>
        </is>
      </c>
      <c r="E28" t="inlineStr">
        <is>
          <t>Nacional</t>
        </is>
      </c>
      <c r="F28" t="inlineStr">
        <is>
          <t>D</t>
        </is>
      </c>
      <c r="G28" t="n">
        <v>2</v>
      </c>
      <c r="H28" t="n">
        <v>2</v>
      </c>
      <c r="I28" t="inlineStr">
        <is>
          <t>2-2</t>
        </is>
      </c>
      <c r="J28" t="inlineStr">
        <is>
          <t>5-2-2-1</t>
        </is>
      </c>
      <c r="K28" t="inlineStr">
        <is>
          <t>Balanced</t>
        </is>
      </c>
      <c r="L28" t="inlineStr">
        <is>
          <t>Normal</t>
        </is>
      </c>
      <c r="M28" t="inlineStr">
        <is>
          <t>Medium-block</t>
        </is>
      </c>
      <c r="N28" t="inlineStr">
        <is>
          <t>Balanced</t>
        </is>
      </c>
      <c r="O28" t="inlineStr">
        <is>
          <t>Balanced</t>
        </is>
      </c>
      <c r="P28" t="inlineStr">
        <is>
          <t>Compact</t>
        </is>
      </c>
      <c r="Q28" t="inlineStr">
        <is>
          <t>Balanced</t>
        </is>
      </c>
      <c r="R28" t="inlineStr">
        <is>
          <t>Balanced</t>
        </is>
      </c>
      <c r="S28" t="n">
        <v>89.90000000000001</v>
      </c>
      <c r="T28" t="n">
        <v>1.21</v>
      </c>
      <c r="U28" t="n">
        <v>0.72</v>
      </c>
      <c r="V28" t="n">
        <v>56</v>
      </c>
      <c r="W28" t="n">
        <v>1</v>
      </c>
      <c r="X28" t="n">
        <v>0</v>
      </c>
      <c r="Y28" t="inlineStr">
        <is>
          <t>E. Barrenechea 19', V. Pavlidis 30'</t>
        </is>
      </c>
    </row>
    <row r="29">
      <c r="A29" t="inlineStr">
        <is>
          <t>20261017-205523-3fa178c6</t>
        </is>
      </c>
      <c r="B29" t="inlineStr">
        <is>
          <t>Benfica</t>
        </is>
      </c>
      <c r="C29" t="n">
        <v>28</v>
      </c>
      <c r="D29" t="inlineStr">
        <is>
          <t>Home</t>
        </is>
      </c>
      <c r="E29" t="inlineStr">
        <is>
          <t>Marítimo</t>
        </is>
      </c>
      <c r="F29" t="inlineStr">
        <is>
          <t>W</t>
        </is>
      </c>
      <c r="G29" t="n">
        <v>4</v>
      </c>
      <c r="H29" t="n">
        <v>0</v>
      </c>
      <c r="I29" t="inlineStr">
        <is>
          <t>4-0</t>
        </is>
      </c>
      <c r="J29" t="inlineStr">
        <is>
          <t>5-2-2-1</t>
        </is>
      </c>
      <c r="K29" t="inlineStr">
        <is>
          <t>Balanced</t>
        </is>
      </c>
      <c r="L29" t="inlineStr">
        <is>
          <t>Normal</t>
        </is>
      </c>
      <c r="M29" t="inlineStr">
        <is>
          <t>Medium-block</t>
        </is>
      </c>
      <c r="N29" t="inlineStr">
        <is>
          <t>Balanced</t>
        </is>
      </c>
      <c r="O29" t="inlineStr">
        <is>
          <t>Balanced</t>
        </is>
      </c>
      <c r="P29" t="inlineStr">
        <is>
          <t>Compact</t>
        </is>
      </c>
      <c r="Q29" t="inlineStr">
        <is>
          <t>Balanced</t>
        </is>
      </c>
      <c r="R29" t="inlineStr">
        <is>
          <t>Balanced</t>
        </is>
      </c>
      <c r="S29" t="n">
        <v>89.5</v>
      </c>
      <c r="T29" t="n">
        <v>3.31</v>
      </c>
      <c r="U29" t="n">
        <v>0.66</v>
      </c>
      <c r="V29" t="n">
        <v>55.1</v>
      </c>
      <c r="W29" t="n">
        <v>0</v>
      </c>
      <c r="X29" t="n">
        <v>0</v>
      </c>
      <c r="Y29" t="inlineStr">
        <is>
          <t>G. Prestianni 60', F. Aursnes 64', A. Schjelderup 78', S. El Karouani 82'</t>
        </is>
      </c>
    </row>
    <row r="30">
      <c r="A30" t="inlineStr">
        <is>
          <t>20261017-205523-3fa178c6</t>
        </is>
      </c>
      <c r="B30" t="inlineStr">
        <is>
          <t>Benfica</t>
        </is>
      </c>
      <c r="C30" t="n">
        <v>29</v>
      </c>
      <c r="D30" t="inlineStr">
        <is>
          <t>Home</t>
        </is>
      </c>
      <c r="E30" t="inlineStr">
        <is>
          <t>Santa Clara</t>
        </is>
      </c>
      <c r="F30" t="inlineStr">
        <is>
          <t>W</t>
        </is>
      </c>
      <c r="G30" t="n">
        <v>2</v>
      </c>
      <c r="H30" t="n">
        <v>0</v>
      </c>
      <c r="I30" t="inlineStr">
        <is>
          <t>2-0</t>
        </is>
      </c>
      <c r="J30" t="inlineStr">
        <is>
          <t>5-2-2-1</t>
        </is>
      </c>
      <c r="K30" t="inlineStr">
        <is>
          <t>Balanced</t>
        </is>
      </c>
      <c r="L30" t="inlineStr">
        <is>
          <t>Normal</t>
        </is>
      </c>
      <c r="M30" t="inlineStr">
        <is>
          <t>Medium-block</t>
        </is>
      </c>
      <c r="N30" t="inlineStr">
        <is>
          <t>Balanced</t>
        </is>
      </c>
      <c r="O30" t="inlineStr">
        <is>
          <t>Balanced</t>
        </is>
      </c>
      <c r="P30" t="inlineStr">
        <is>
          <t>Compact</t>
        </is>
      </c>
      <c r="Q30" t="inlineStr">
        <is>
          <t>Balanced</t>
        </is>
      </c>
      <c r="R30" t="inlineStr">
        <is>
          <t>Balanced</t>
        </is>
      </c>
      <c r="S30" t="n">
        <v>89.5</v>
      </c>
      <c r="T30" t="n">
        <v>2.56</v>
      </c>
      <c r="U30" t="n">
        <v>0.97</v>
      </c>
      <c r="V30" t="n">
        <v>50.1</v>
      </c>
      <c r="W30" t="n">
        <v>3</v>
      </c>
      <c r="X30" t="n">
        <v>1</v>
      </c>
      <c r="Y30" t="inlineStr">
        <is>
          <t>A. Schjelderup 49', V. Pavlidis 54'</t>
        </is>
      </c>
    </row>
    <row r="31">
      <c r="A31" t="inlineStr">
        <is>
          <t>20261017-205523-3fa178c6</t>
        </is>
      </c>
      <c r="B31" t="inlineStr">
        <is>
          <t>Benfica</t>
        </is>
      </c>
      <c r="C31" t="n">
        <v>30</v>
      </c>
      <c r="D31" t="inlineStr">
        <is>
          <t>Away</t>
        </is>
      </c>
      <c r="E31" t="inlineStr">
        <is>
          <t>Famalicão</t>
        </is>
      </c>
      <c r="F31" t="inlineStr">
        <is>
          <t>D</t>
        </is>
      </c>
      <c r="G31" t="n">
        <v>0</v>
      </c>
      <c r="H31" t="n">
        <v>0</v>
      </c>
      <c r="I31" t="inlineStr">
        <is>
          <t>0-0</t>
        </is>
      </c>
      <c r="J31" t="inlineStr">
        <is>
          <t>5-2-2-1</t>
        </is>
      </c>
      <c r="K31" t="inlineStr">
        <is>
          <t>Balanced</t>
        </is>
      </c>
      <c r="L31" t="inlineStr">
        <is>
          <t>Normal</t>
        </is>
      </c>
      <c r="M31" t="inlineStr">
        <is>
          <t>Medium-block</t>
        </is>
      </c>
      <c r="N31" t="inlineStr">
        <is>
          <t>Balanced</t>
        </is>
      </c>
      <c r="O31" t="inlineStr">
        <is>
          <t>Balanced</t>
        </is>
      </c>
      <c r="P31" t="inlineStr">
        <is>
          <t>Compact</t>
        </is>
      </c>
      <c r="Q31" t="inlineStr">
        <is>
          <t>Balanced</t>
        </is>
      </c>
      <c r="R31" t="inlineStr">
        <is>
          <t>Balanced</t>
        </is>
      </c>
      <c r="S31" t="n">
        <v>89.90000000000001</v>
      </c>
      <c r="T31" t="n">
        <v>1.17</v>
      </c>
      <c r="U31" t="n">
        <v>0.98</v>
      </c>
      <c r="V31" t="n">
        <v>58.8</v>
      </c>
      <c r="W31" t="n">
        <v>2</v>
      </c>
      <c r="X31" t="n">
        <v>0</v>
      </c>
      <c r="Y31" t="inlineStr"/>
    </row>
    <row r="32">
      <c r="A32" t="inlineStr">
        <is>
          <t>20261017-205523-3fa178c6</t>
        </is>
      </c>
      <c r="B32" t="inlineStr">
        <is>
          <t>Benfica</t>
        </is>
      </c>
      <c r="C32" t="n">
        <v>31</v>
      </c>
      <c r="D32" t="inlineStr">
        <is>
          <t>Home</t>
        </is>
      </c>
      <c r="E32" t="inlineStr">
        <is>
          <t>Vitória SC</t>
        </is>
      </c>
      <c r="F32" t="inlineStr">
        <is>
          <t>W</t>
        </is>
      </c>
      <c r="G32" t="n">
        <v>3</v>
      </c>
      <c r="H32" t="n">
        <v>2</v>
      </c>
      <c r="I32" t="inlineStr">
        <is>
          <t>3-2</t>
        </is>
      </c>
      <c r="J32" t="inlineStr">
        <is>
          <t>5-2-2-1</t>
        </is>
      </c>
      <c r="K32" t="inlineStr">
        <is>
          <t>Balanced</t>
        </is>
      </c>
      <c r="L32" t="inlineStr">
        <is>
          <t>Normal</t>
        </is>
      </c>
      <c r="M32" t="inlineStr">
        <is>
          <t>Medium-block</t>
        </is>
      </c>
      <c r="N32" t="inlineStr">
        <is>
          <t>Balanced</t>
        </is>
      </c>
      <c r="O32" t="inlineStr">
        <is>
          <t>Balanced</t>
        </is>
      </c>
      <c r="P32" t="inlineStr">
        <is>
          <t>Compact</t>
        </is>
      </c>
      <c r="Q32" t="inlineStr">
        <is>
          <t>Balanced</t>
        </is>
      </c>
      <c r="R32" t="inlineStr">
        <is>
          <t>Balanced</t>
        </is>
      </c>
      <c r="S32" t="n">
        <v>89.5</v>
      </c>
      <c r="T32" t="n">
        <v>1.92</v>
      </c>
      <c r="U32" t="n">
        <v>1.05</v>
      </c>
      <c r="V32" t="n">
        <v>52.6</v>
      </c>
      <c r="W32" t="n">
        <v>0</v>
      </c>
      <c r="X32" t="n">
        <v>0</v>
      </c>
      <c r="Y32" t="inlineStr">
        <is>
          <t>A. Bah 53', H. Sudakov 67', Rafa Silva 78'</t>
        </is>
      </c>
    </row>
    <row r="33">
      <c r="A33" t="inlineStr">
        <is>
          <t>20261017-205523-3fa178c6</t>
        </is>
      </c>
      <c r="B33" t="inlineStr">
        <is>
          <t>Benfica</t>
        </is>
      </c>
      <c r="C33" t="n">
        <v>32</v>
      </c>
      <c r="D33" t="inlineStr">
        <is>
          <t>Away</t>
        </is>
      </c>
      <c r="E33" t="inlineStr">
        <is>
          <t>Moreirense</t>
        </is>
      </c>
      <c r="F33" t="inlineStr">
        <is>
          <t>W</t>
        </is>
      </c>
      <c r="G33" t="n">
        <v>2</v>
      </c>
      <c r="H33" t="n">
        <v>1</v>
      </c>
      <c r="I33" t="inlineStr">
        <is>
          <t>2-1</t>
        </is>
      </c>
      <c r="J33" t="inlineStr">
        <is>
          <t>5-2-2-1</t>
        </is>
      </c>
      <c r="K33" t="inlineStr">
        <is>
          <t>Balanced</t>
        </is>
      </c>
      <c r="L33" t="inlineStr">
        <is>
          <t>Normal</t>
        </is>
      </c>
      <c r="M33" t="inlineStr">
        <is>
          <t>Medium-block</t>
        </is>
      </c>
      <c r="N33" t="inlineStr">
        <is>
          <t>Balanced</t>
        </is>
      </c>
      <c r="O33" t="inlineStr">
        <is>
          <t>Balanced</t>
        </is>
      </c>
      <c r="P33" t="inlineStr">
        <is>
          <t>Compact</t>
        </is>
      </c>
      <c r="Q33" t="inlineStr">
        <is>
          <t>Balanced</t>
        </is>
      </c>
      <c r="R33" t="inlineStr">
        <is>
          <t>Balanced</t>
        </is>
      </c>
      <c r="S33" t="n">
        <v>89.5</v>
      </c>
      <c r="T33" t="n">
        <v>2.05</v>
      </c>
      <c r="U33" t="n">
        <v>1.33</v>
      </c>
      <c r="V33" t="n">
        <v>51.5</v>
      </c>
      <c r="W33" t="n">
        <v>3</v>
      </c>
      <c r="X33" t="n">
        <v>0</v>
      </c>
      <c r="Y33" t="inlineStr">
        <is>
          <t>A. Schjelderup 7', F. Aursnes 84'</t>
        </is>
      </c>
    </row>
    <row r="34">
      <c r="A34" t="inlineStr">
        <is>
          <t>20261017-205523-3fa178c6</t>
        </is>
      </c>
      <c r="B34" t="inlineStr">
        <is>
          <t>Benfica</t>
        </is>
      </c>
      <c r="C34" t="n">
        <v>33</v>
      </c>
      <c r="D34" t="inlineStr">
        <is>
          <t>Home</t>
        </is>
      </c>
      <c r="E34" t="inlineStr">
        <is>
          <t>Gil Vicente</t>
        </is>
      </c>
      <c r="F34" t="inlineStr">
        <is>
          <t>L</t>
        </is>
      </c>
      <c r="G34" t="n">
        <v>0</v>
      </c>
      <c r="H34" t="n">
        <v>1</v>
      </c>
      <c r="I34" t="inlineStr">
        <is>
          <t>0-1</t>
        </is>
      </c>
      <c r="J34" t="inlineStr">
        <is>
          <t>5-2-2-1</t>
        </is>
      </c>
      <c r="K34" t="inlineStr">
        <is>
          <t>Balanced</t>
        </is>
      </c>
      <c r="L34" t="inlineStr">
        <is>
          <t>Normal</t>
        </is>
      </c>
      <c r="M34" t="inlineStr">
        <is>
          <t>Medium-block</t>
        </is>
      </c>
      <c r="N34" t="inlineStr">
        <is>
          <t>Balanced</t>
        </is>
      </c>
      <c r="O34" t="inlineStr">
        <is>
          <t>Balanced</t>
        </is>
      </c>
      <c r="P34" t="inlineStr">
        <is>
          <t>Compact</t>
        </is>
      </c>
      <c r="Q34" t="inlineStr">
        <is>
          <t>Balanced</t>
        </is>
      </c>
      <c r="R34" t="inlineStr">
        <is>
          <t>Balanced</t>
        </is>
      </c>
      <c r="S34" t="n">
        <v>89.5</v>
      </c>
      <c r="T34" t="n">
        <v>2.81</v>
      </c>
      <c r="U34" t="n">
        <v>1.04</v>
      </c>
      <c r="V34" t="n">
        <v>69.7</v>
      </c>
      <c r="W34" t="n">
        <v>3</v>
      </c>
      <c r="X34" t="n">
        <v>0</v>
      </c>
      <c r="Y34" t="inlineStr"/>
    </row>
    <row r="35">
      <c r="A35" t="inlineStr">
        <is>
          <t>20261017-205523-3fa178c6</t>
        </is>
      </c>
      <c r="B35" t="inlineStr">
        <is>
          <t>Benfica</t>
        </is>
      </c>
      <c r="C35" t="n">
        <v>34</v>
      </c>
      <c r="D35" t="inlineStr">
        <is>
          <t>Away</t>
        </is>
      </c>
      <c r="E35" t="inlineStr">
        <is>
          <t>Porto</t>
        </is>
      </c>
      <c r="F35" t="inlineStr">
        <is>
          <t>L</t>
        </is>
      </c>
      <c r="G35" t="n">
        <v>2</v>
      </c>
      <c r="H35" t="n">
        <v>4</v>
      </c>
      <c r="I35" t="inlineStr">
        <is>
          <t>2-4</t>
        </is>
      </c>
      <c r="J35" t="inlineStr">
        <is>
          <t>5-2-2-1</t>
        </is>
      </c>
      <c r="K35" t="inlineStr">
        <is>
          <t>Balanced</t>
        </is>
      </c>
      <c r="L35" t="inlineStr">
        <is>
          <t>Normal</t>
        </is>
      </c>
      <c r="M35" t="inlineStr">
        <is>
          <t>Medium-block</t>
        </is>
      </c>
      <c r="N35" t="inlineStr">
        <is>
          <t>Balanced</t>
        </is>
      </c>
      <c r="O35" t="inlineStr">
        <is>
          <t>Balanced</t>
        </is>
      </c>
      <c r="P35" t="inlineStr">
        <is>
          <t>Compact</t>
        </is>
      </c>
      <c r="Q35" t="inlineStr">
        <is>
          <t>Balanced</t>
        </is>
      </c>
      <c r="R35" t="inlineStr">
        <is>
          <t>Balanced</t>
        </is>
      </c>
      <c r="S35" t="n">
        <v>89.5</v>
      </c>
      <c r="T35" t="n">
        <v>0.89</v>
      </c>
      <c r="U35" t="n">
        <v>1.14</v>
      </c>
      <c r="V35" t="n">
        <v>54.8</v>
      </c>
      <c r="W35" t="n">
        <v>1</v>
      </c>
      <c r="X35" t="n">
        <v>0</v>
      </c>
      <c r="Y35" t="inlineStr">
        <is>
          <t>V. Pavlidis 9', H. Sudakov 71'</t>
        </is>
      </c>
    </row>
  </sheetData>
  <autoFilter ref="A1:Y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</cols>
  <sheetData>
    <row r="1" ht="34" customHeight="1">
      <c r="A1" s="6" t="inlineStr">
        <is>
          <t>Season ID</t>
        </is>
      </c>
      <c r="B1" s="6" t="inlineStr">
        <is>
          <t>Club (user)</t>
        </is>
      </c>
      <c r="C1" s="6" t="inlineStr">
        <is>
          <t>Player</t>
        </is>
      </c>
      <c r="D1" s="6" t="inlineStr">
        <is>
          <t>Team</t>
        </is>
      </c>
      <c r="E1" s="6" t="inlineStr">
        <is>
          <t>Position</t>
        </is>
      </c>
      <c r="F1" s="6" t="inlineStr">
        <is>
          <t>Apps</t>
        </is>
      </c>
      <c r="G1" s="6" t="inlineStr">
        <is>
          <t>Goals</t>
        </is>
      </c>
      <c r="H1" s="6" t="inlineStr">
        <is>
          <t>Assists</t>
        </is>
      </c>
      <c r="I1" s="6" t="inlineStr">
        <is>
          <t>Avg rating</t>
        </is>
      </c>
      <c r="J1" s="6" t="inlineStr">
        <is>
          <t>Own club?</t>
        </is>
      </c>
    </row>
    <row r="2">
      <c r="A2" t="inlineStr">
        <is>
          <t>20261017-205523-3fa178c6</t>
        </is>
      </c>
      <c r="B2" t="inlineStr">
        <is>
          <t>Benfica</t>
        </is>
      </c>
      <c r="C2" t="inlineStr">
        <is>
          <t>V. Pavlidis</t>
        </is>
      </c>
      <c r="D2" t="inlineStr">
        <is>
          <t>Benfica</t>
        </is>
      </c>
      <c r="E2" t="inlineStr">
        <is>
          <t>CF</t>
        </is>
      </c>
      <c r="F2" t="n">
        <v>34</v>
      </c>
      <c r="G2" t="n">
        <v>18</v>
      </c>
      <c r="H2" t="n">
        <v>1</v>
      </c>
      <c r="I2" t="n">
        <v>7.23</v>
      </c>
      <c r="J2" t="inlineStr">
        <is>
          <t>Yes</t>
        </is>
      </c>
    </row>
    <row r="3">
      <c r="A3" t="inlineStr">
        <is>
          <t>20261017-205523-3fa178c6</t>
        </is>
      </c>
      <c r="B3" t="inlineStr">
        <is>
          <t>Benfica</t>
        </is>
      </c>
      <c r="C3" t="inlineStr">
        <is>
          <t>L. Suárez</t>
        </is>
      </c>
      <c r="D3" t="inlineStr">
        <is>
          <t>Sporting CP</t>
        </is>
      </c>
      <c r="E3" t="inlineStr">
        <is>
          <t>CF</t>
        </is>
      </c>
      <c r="F3" t="n">
        <v>34</v>
      </c>
      <c r="G3" t="n">
        <v>17</v>
      </c>
      <c r="H3" t="n">
        <v>5</v>
      </c>
      <c r="I3" t="n">
        <v>7.38</v>
      </c>
      <c r="J3" t="inlineStr">
        <is>
          <t>No</t>
        </is>
      </c>
    </row>
    <row r="4">
      <c r="A4" t="inlineStr">
        <is>
          <t>20261017-205523-3fa178c6</t>
        </is>
      </c>
      <c r="B4" t="inlineStr">
        <is>
          <t>Benfica</t>
        </is>
      </c>
      <c r="C4" t="inlineStr">
        <is>
          <t>M. Kaba</t>
        </is>
      </c>
      <c r="D4" t="inlineStr">
        <is>
          <t>Gil Vicente</t>
        </is>
      </c>
      <c r="E4" t="inlineStr">
        <is>
          <t>CF</t>
        </is>
      </c>
      <c r="F4" t="n">
        <v>35</v>
      </c>
      <c r="G4" t="n">
        <v>17</v>
      </c>
      <c r="H4" t="n">
        <v>5</v>
      </c>
      <c r="I4" t="n">
        <v>7.09</v>
      </c>
      <c r="J4" t="inlineStr">
        <is>
          <t>No</t>
        </is>
      </c>
    </row>
    <row r="5">
      <c r="A5" t="inlineStr">
        <is>
          <t>20261017-205523-3fa178c6</t>
        </is>
      </c>
      <c r="B5" t="inlineStr">
        <is>
          <t>Benfica</t>
        </is>
      </c>
      <c r="C5" t="inlineStr">
        <is>
          <t>Gustavo Silva</t>
        </is>
      </c>
      <c r="D5" t="inlineStr">
        <is>
          <t>Vitória SC</t>
        </is>
      </c>
      <c r="E5" t="inlineStr">
        <is>
          <t>CF</t>
        </is>
      </c>
      <c r="F5" t="n">
        <v>34</v>
      </c>
      <c r="G5" t="n">
        <v>16</v>
      </c>
      <c r="H5" t="n">
        <v>3</v>
      </c>
      <c r="I5" t="n">
        <v>6.98</v>
      </c>
      <c r="J5" t="inlineStr">
        <is>
          <t>No</t>
        </is>
      </c>
    </row>
    <row r="6">
      <c r="A6" t="inlineStr">
        <is>
          <t>20261017-205523-3fa178c6</t>
        </is>
      </c>
      <c r="B6" t="inlineStr">
        <is>
          <t>Benfica</t>
        </is>
      </c>
      <c r="C6" t="inlineStr">
        <is>
          <t>Geny Catamo</t>
        </is>
      </c>
      <c r="D6" t="inlineStr">
        <is>
          <t>Sporting CP</t>
        </is>
      </c>
      <c r="E6" t="inlineStr">
        <is>
          <t>AM &amp; W</t>
        </is>
      </c>
      <c r="F6" t="n">
        <v>34</v>
      </c>
      <c r="G6" t="n">
        <v>15</v>
      </c>
      <c r="H6" t="n">
        <v>7</v>
      </c>
      <c r="I6" t="n">
        <v>7.48</v>
      </c>
      <c r="J6" t="inlineStr">
        <is>
          <t>No</t>
        </is>
      </c>
    </row>
    <row r="7">
      <c r="A7" t="inlineStr">
        <is>
          <t>20261017-205523-3fa178c6</t>
        </is>
      </c>
      <c r="B7" t="inlineStr">
        <is>
          <t>Benfica</t>
        </is>
      </c>
      <c r="C7" t="inlineStr">
        <is>
          <t>Pau Víctor</t>
        </is>
      </c>
      <c r="D7" t="inlineStr">
        <is>
          <t>SC Braga</t>
        </is>
      </c>
      <c r="E7" t="inlineStr">
        <is>
          <t>CF</t>
        </is>
      </c>
      <c r="F7" t="n">
        <v>34</v>
      </c>
      <c r="G7" t="n">
        <v>15</v>
      </c>
      <c r="H7" t="n">
        <v>3</v>
      </c>
      <c r="I7" t="n">
        <v>7.15</v>
      </c>
      <c r="J7" t="inlineStr">
        <is>
          <t>No</t>
        </is>
      </c>
    </row>
    <row r="8">
      <c r="A8" t="inlineStr">
        <is>
          <t>20261017-205523-3fa178c6</t>
        </is>
      </c>
      <c r="B8" t="inlineStr">
        <is>
          <t>Benfica</t>
        </is>
      </c>
      <c r="C8" t="inlineStr">
        <is>
          <t>Gil Dias</t>
        </is>
      </c>
      <c r="D8" t="inlineStr">
        <is>
          <t>Famalicão</t>
        </is>
      </c>
      <c r="E8" t="inlineStr">
        <is>
          <t>AM &amp; W</t>
        </is>
      </c>
      <c r="F8" t="n">
        <v>32</v>
      </c>
      <c r="G8" t="n">
        <v>15</v>
      </c>
      <c r="H8" t="n">
        <v>2</v>
      </c>
      <c r="I8" t="n">
        <v>7.03</v>
      </c>
      <c r="J8" t="inlineStr">
        <is>
          <t>No</t>
        </is>
      </c>
    </row>
    <row r="9">
      <c r="A9" t="inlineStr">
        <is>
          <t>20261017-205523-3fa178c6</t>
        </is>
      </c>
      <c r="B9" t="inlineStr">
        <is>
          <t>Benfica</t>
        </is>
      </c>
      <c r="C9" t="inlineStr">
        <is>
          <t>G. Prestianni</t>
        </is>
      </c>
      <c r="D9" t="inlineStr">
        <is>
          <t>Benfica</t>
        </is>
      </c>
      <c r="E9" t="inlineStr">
        <is>
          <t>AM &amp; W</t>
        </is>
      </c>
      <c r="F9" t="n">
        <v>34</v>
      </c>
      <c r="G9" t="n">
        <v>12</v>
      </c>
      <c r="H9" t="n">
        <v>6</v>
      </c>
      <c r="I9" t="n">
        <v>7.37</v>
      </c>
      <c r="J9" t="inlineStr">
        <is>
          <t>Yes</t>
        </is>
      </c>
    </row>
    <row r="10">
      <c r="A10" t="inlineStr">
        <is>
          <t>20261017-205523-3fa178c6</t>
        </is>
      </c>
      <c r="B10" t="inlineStr">
        <is>
          <t>Benfica</t>
        </is>
      </c>
      <c r="C10" t="inlineStr">
        <is>
          <t>A. Schjelderup</t>
        </is>
      </c>
      <c r="D10" t="inlineStr">
        <is>
          <t>Benfica</t>
        </is>
      </c>
      <c r="E10" t="inlineStr">
        <is>
          <t>AM &amp; W</t>
        </is>
      </c>
      <c r="F10" t="n">
        <v>34</v>
      </c>
      <c r="G10" t="n">
        <v>12</v>
      </c>
      <c r="H10" t="n">
        <v>5</v>
      </c>
      <c r="I10" t="n">
        <v>7.13</v>
      </c>
      <c r="J10" t="inlineStr">
        <is>
          <t>Yes</t>
        </is>
      </c>
    </row>
    <row r="11">
      <c r="A11" t="inlineStr">
        <is>
          <t>20261017-205523-3fa178c6</t>
        </is>
      </c>
      <c r="B11" t="inlineStr">
        <is>
          <t>Benfica</t>
        </is>
      </c>
      <c r="C11" t="inlineStr">
        <is>
          <t>Andre Clóvis</t>
        </is>
      </c>
      <c r="D11" t="inlineStr">
        <is>
          <t>Académico de Viseu F.C.</t>
        </is>
      </c>
      <c r="E11" t="inlineStr">
        <is>
          <t>CF</t>
        </is>
      </c>
      <c r="F11" t="n">
        <v>35</v>
      </c>
      <c r="G11" t="n">
        <v>12</v>
      </c>
      <c r="H11" t="n">
        <v>2</v>
      </c>
      <c r="I11" t="n">
        <v>6.91</v>
      </c>
      <c r="J11" t="inlineStr">
        <is>
          <t>No</t>
        </is>
      </c>
    </row>
    <row r="12">
      <c r="A12" t="inlineStr">
        <is>
          <t>20261017-205523-3fa178c6</t>
        </is>
      </c>
      <c r="B12" t="inlineStr">
        <is>
          <t>Benfica</t>
        </is>
      </c>
      <c r="C12" t="inlineStr">
        <is>
          <t>F. Aursnes</t>
        </is>
      </c>
      <c r="D12" t="inlineStr">
        <is>
          <t>Benfica</t>
        </is>
      </c>
      <c r="E12" t="inlineStr">
        <is>
          <t>MF</t>
        </is>
      </c>
      <c r="F12" t="n">
        <v>34</v>
      </c>
      <c r="G12" t="n">
        <v>6</v>
      </c>
      <c r="H12" t="n">
        <v>6</v>
      </c>
      <c r="I12" t="n">
        <v>7.01</v>
      </c>
      <c r="J12" t="inlineStr">
        <is>
          <t>Yes</t>
        </is>
      </c>
    </row>
    <row r="13">
      <c r="A13" t="inlineStr">
        <is>
          <t>20261017-205523-3fa178c6</t>
        </is>
      </c>
      <c r="B13" t="inlineStr">
        <is>
          <t>Benfica</t>
        </is>
      </c>
      <c r="C13" t="inlineStr">
        <is>
          <t>Rafa Silva</t>
        </is>
      </c>
      <c r="D13" t="inlineStr">
        <is>
          <t>Benfica</t>
        </is>
      </c>
      <c r="E13" t="inlineStr">
        <is>
          <t>AM &amp; W</t>
        </is>
      </c>
      <c r="F13" t="n">
        <v>22</v>
      </c>
      <c r="G13" t="n">
        <v>4</v>
      </c>
      <c r="H13" t="n">
        <v>1</v>
      </c>
      <c r="I13" t="n">
        <v>6.65</v>
      </c>
      <c r="J13" t="inlineStr">
        <is>
          <t>Yes</t>
        </is>
      </c>
    </row>
    <row r="14">
      <c r="A14" t="inlineStr">
        <is>
          <t>20261017-205523-3fa178c6</t>
        </is>
      </c>
      <c r="B14" t="inlineStr">
        <is>
          <t>Benfica</t>
        </is>
      </c>
      <c r="C14" t="inlineStr">
        <is>
          <t>S. El Karouani</t>
        </is>
      </c>
      <c r="D14" t="inlineStr">
        <is>
          <t>Benfica</t>
        </is>
      </c>
      <c r="E14" t="inlineStr">
        <is>
          <t>FB &amp; WB</t>
        </is>
      </c>
      <c r="F14" t="n">
        <v>34</v>
      </c>
      <c r="G14" t="n">
        <v>3</v>
      </c>
      <c r="H14" t="n">
        <v>6</v>
      </c>
      <c r="I14" t="n">
        <v>6.72</v>
      </c>
      <c r="J14" t="inlineStr">
        <is>
          <t>Yes</t>
        </is>
      </c>
    </row>
    <row r="15">
      <c r="A15" t="inlineStr">
        <is>
          <t>20261017-205523-3fa178c6</t>
        </is>
      </c>
      <c r="B15" t="inlineStr">
        <is>
          <t>Benfica</t>
        </is>
      </c>
      <c r="C15" t="inlineStr">
        <is>
          <t>João Palhinha</t>
        </is>
      </c>
      <c r="D15" t="inlineStr">
        <is>
          <t>Benfica</t>
        </is>
      </c>
      <c r="E15" t="inlineStr">
        <is>
          <t>MF</t>
        </is>
      </c>
      <c r="F15" t="n">
        <v>30</v>
      </c>
      <c r="G15" t="n">
        <v>2</v>
      </c>
      <c r="H15" t="n">
        <v>7</v>
      </c>
      <c r="I15" t="n">
        <v>6.89</v>
      </c>
      <c r="J15" t="inlineStr">
        <is>
          <t>Yes</t>
        </is>
      </c>
    </row>
    <row r="16">
      <c r="A16" t="inlineStr">
        <is>
          <t>20261017-205523-3fa178c6</t>
        </is>
      </c>
      <c r="B16" t="inlineStr">
        <is>
          <t>Benfica</t>
        </is>
      </c>
      <c r="C16" t="inlineStr">
        <is>
          <t>H. Sudakov</t>
        </is>
      </c>
      <c r="D16" t="inlineStr">
        <is>
          <t>Benfica</t>
        </is>
      </c>
      <c r="E16" t="inlineStr">
        <is>
          <t>AM &amp; W</t>
        </is>
      </c>
      <c r="F16" t="n">
        <v>31</v>
      </c>
      <c r="G16" t="n">
        <v>2</v>
      </c>
      <c r="H16" t="n">
        <v>2</v>
      </c>
      <c r="I16" t="n">
        <v>6.54</v>
      </c>
      <c r="J16" t="inlineStr">
        <is>
          <t>Yes</t>
        </is>
      </c>
    </row>
    <row r="17">
      <c r="A17" t="inlineStr">
        <is>
          <t>20261017-205523-3fa178c6</t>
        </is>
      </c>
      <c r="B17" t="inlineStr">
        <is>
          <t>Benfica</t>
        </is>
      </c>
      <c r="C17" t="inlineStr">
        <is>
          <t>José Neto</t>
        </is>
      </c>
      <c r="D17" t="inlineStr">
        <is>
          <t>Benfica</t>
        </is>
      </c>
      <c r="E17" t="inlineStr">
        <is>
          <t>FB &amp; WB</t>
        </is>
      </c>
      <c r="F17" t="n">
        <v>27</v>
      </c>
      <c r="G17" t="n">
        <v>2</v>
      </c>
      <c r="H17" t="n">
        <v>0</v>
      </c>
      <c r="I17" t="n">
        <v>6.69</v>
      </c>
      <c r="J17" t="inlineStr">
        <is>
          <t>Yes</t>
        </is>
      </c>
    </row>
    <row r="18">
      <c r="A18" t="inlineStr">
        <is>
          <t>20261017-205523-3fa178c6</t>
        </is>
      </c>
      <c r="B18" t="inlineStr">
        <is>
          <t>Benfica</t>
        </is>
      </c>
      <c r="C18" t="inlineStr">
        <is>
          <t>A. Bah</t>
        </is>
      </c>
      <c r="D18" t="inlineStr">
        <is>
          <t>Benfica</t>
        </is>
      </c>
      <c r="E18" t="inlineStr">
        <is>
          <t>FB &amp; WB</t>
        </is>
      </c>
      <c r="F18" t="n">
        <v>34</v>
      </c>
      <c r="G18" t="n">
        <v>1</v>
      </c>
      <c r="H18" t="n">
        <v>4</v>
      </c>
      <c r="I18" t="n">
        <v>7</v>
      </c>
      <c r="J18" t="inlineStr">
        <is>
          <t>Yes</t>
        </is>
      </c>
    </row>
    <row r="19">
      <c r="A19" t="inlineStr">
        <is>
          <t>20261017-205523-3fa178c6</t>
        </is>
      </c>
      <c r="B19" t="inlineStr">
        <is>
          <t>Benfica</t>
        </is>
      </c>
      <c r="C19" t="inlineStr">
        <is>
          <t>S. Dahl</t>
        </is>
      </c>
      <c r="D19" t="inlineStr">
        <is>
          <t>Benfica</t>
        </is>
      </c>
      <c r="E19" t="inlineStr">
        <is>
          <t>FB &amp; WB</t>
        </is>
      </c>
      <c r="F19" t="n">
        <v>34</v>
      </c>
      <c r="G19" t="n">
        <v>1</v>
      </c>
      <c r="H19" t="n">
        <v>1</v>
      </c>
      <c r="I19" t="n">
        <v>6.56</v>
      </c>
      <c r="J19" t="inlineStr">
        <is>
          <t>Yes</t>
        </is>
      </c>
    </row>
    <row r="20">
      <c r="A20" t="inlineStr">
        <is>
          <t>20261017-205523-3fa178c6</t>
        </is>
      </c>
      <c r="B20" t="inlineStr">
        <is>
          <t>Benfica</t>
        </is>
      </c>
      <c r="C20" t="inlineStr">
        <is>
          <t>E. Barrenechea</t>
        </is>
      </c>
      <c r="D20" t="inlineStr">
        <is>
          <t>Benfica</t>
        </is>
      </c>
      <c r="E20" t="inlineStr">
        <is>
          <t>MF</t>
        </is>
      </c>
      <c r="F20" t="n">
        <v>31</v>
      </c>
      <c r="G20" t="n">
        <v>1</v>
      </c>
      <c r="H20" t="n">
        <v>1</v>
      </c>
      <c r="I20" t="n">
        <v>6.62</v>
      </c>
      <c r="J20" t="inlineStr">
        <is>
          <t>Yes</t>
        </is>
      </c>
    </row>
    <row r="21">
      <c r="A21" t="inlineStr">
        <is>
          <t>20261017-205523-3fa178c6</t>
        </is>
      </c>
      <c r="B21" t="inlineStr">
        <is>
          <t>Benfica</t>
        </is>
      </c>
      <c r="C21" t="inlineStr">
        <is>
          <t>Tomás Araújo</t>
        </is>
      </c>
      <c r="D21" t="inlineStr">
        <is>
          <t>Benfica</t>
        </is>
      </c>
      <c r="E21" t="inlineStr">
        <is>
          <t>CB</t>
        </is>
      </c>
      <c r="F21" t="n">
        <v>34</v>
      </c>
      <c r="G21" t="n">
        <v>0</v>
      </c>
      <c r="H21" t="n">
        <v>3</v>
      </c>
      <c r="I21" t="n">
        <v>6.81</v>
      </c>
      <c r="J21" t="inlineStr">
        <is>
          <t>Yes</t>
        </is>
      </c>
    </row>
    <row r="22">
      <c r="A22" t="inlineStr">
        <is>
          <t>20261017-205523-3fa178c6</t>
        </is>
      </c>
      <c r="B22" t="inlineStr">
        <is>
          <t>Benfica</t>
        </is>
      </c>
      <c r="C22" t="inlineStr">
        <is>
          <t>C. Lenglet</t>
        </is>
      </c>
      <c r="D22" t="inlineStr">
        <is>
          <t>Benfica</t>
        </is>
      </c>
      <c r="E22" t="inlineStr">
        <is>
          <t>CB</t>
        </is>
      </c>
      <c r="F22" t="n">
        <v>34</v>
      </c>
      <c r="G22" t="n">
        <v>0</v>
      </c>
      <c r="H22" t="n">
        <v>1</v>
      </c>
      <c r="I22" t="n">
        <v>6.66</v>
      </c>
      <c r="J22" t="inlineStr">
        <is>
          <t>Yes</t>
        </is>
      </c>
    </row>
    <row r="23">
      <c r="A23" t="inlineStr">
        <is>
          <t>20261017-205523-3fa178c6</t>
        </is>
      </c>
      <c r="B23" t="inlineStr">
        <is>
          <t>Benfica</t>
        </is>
      </c>
      <c r="C23" t="inlineStr">
        <is>
          <t>A. Circati</t>
        </is>
      </c>
      <c r="D23" t="inlineStr">
        <is>
          <t>Benfica</t>
        </is>
      </c>
      <c r="E23" t="inlineStr">
        <is>
          <t>CB</t>
        </is>
      </c>
      <c r="F23" t="n">
        <v>34</v>
      </c>
      <c r="G23" t="n">
        <v>0</v>
      </c>
      <c r="H23" t="n">
        <v>0</v>
      </c>
      <c r="I23" t="n">
        <v>6.59</v>
      </c>
      <c r="J23" t="inlineStr">
        <is>
          <t>Yes</t>
        </is>
      </c>
    </row>
    <row r="24">
      <c r="A24" t="inlineStr">
        <is>
          <t>20261017-205523-3fa178c6</t>
        </is>
      </c>
      <c r="B24" t="inlineStr">
        <is>
          <t>Benfica</t>
        </is>
      </c>
      <c r="C24" t="inlineStr">
        <is>
          <t>J. Kamiński</t>
        </is>
      </c>
      <c r="D24" t="inlineStr">
        <is>
          <t>Benfica</t>
        </is>
      </c>
      <c r="E24" t="inlineStr">
        <is>
          <t>AM &amp; W</t>
        </is>
      </c>
      <c r="F24" t="n">
        <v>4</v>
      </c>
      <c r="G24" t="n">
        <v>0</v>
      </c>
      <c r="H24" t="n">
        <v>0</v>
      </c>
      <c r="I24" t="n">
        <v>7.1</v>
      </c>
      <c r="J24" t="inlineStr">
        <is>
          <t>Yes</t>
        </is>
      </c>
    </row>
    <row r="25">
      <c r="A25" t="inlineStr">
        <is>
          <t>20261017-205523-3fa178c6</t>
        </is>
      </c>
      <c r="B25" t="inlineStr">
        <is>
          <t>Benfica</t>
        </is>
      </c>
      <c r="C25" t="inlineStr">
        <is>
          <t>A. Trubin</t>
        </is>
      </c>
      <c r="D25" t="inlineStr">
        <is>
          <t>Benfica</t>
        </is>
      </c>
      <c r="E25" t="inlineStr">
        <is>
          <t>GK</t>
        </is>
      </c>
      <c r="F25" t="n">
        <v>34</v>
      </c>
      <c r="G25" t="n">
        <v>0</v>
      </c>
      <c r="H25" t="n">
        <v>0</v>
      </c>
      <c r="I25" t="n">
        <v>6.74</v>
      </c>
      <c r="J25" t="inlineStr">
        <is>
          <t>Yes</t>
        </is>
      </c>
    </row>
  </sheetData>
  <autoFilter ref="A1:J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</cols>
  <sheetData>
    <row r="1" ht="34" customHeight="1">
      <c r="A1" s="6" t="inlineStr">
        <is>
          <t>Season ID</t>
        </is>
      </c>
      <c r="B1" s="6" t="inlineStr">
        <is>
          <t>Club (user)</t>
        </is>
      </c>
      <c r="C1" s="6" t="inlineStr">
        <is>
          <t>Formation</t>
        </is>
      </c>
      <c r="D1" s="6" t="inlineStr">
        <is>
          <t>Slot</t>
        </is>
      </c>
      <c r="E1" s="6" t="inlineStr">
        <is>
          <t>Player</t>
        </is>
      </c>
      <c r="F1" s="6" t="inlineStr">
        <is>
          <t>Position</t>
        </is>
      </c>
      <c r="G1" s="6" t="inlineStr">
        <is>
          <t>Role</t>
        </is>
      </c>
      <c r="H1" s="6" t="inlineStr">
        <is>
          <t>Apps</t>
        </is>
      </c>
      <c r="I1" s="6" t="inlineStr">
        <is>
          <t>Goals</t>
        </is>
      </c>
      <c r="J1" s="6" t="inlineStr">
        <is>
          <t>Assists</t>
        </is>
      </c>
      <c r="K1" s="6" t="inlineStr">
        <is>
          <t>Avg rating</t>
        </is>
      </c>
    </row>
    <row r="2">
      <c r="A2" t="inlineStr">
        <is>
          <t>20261017-205523-3fa178c6</t>
        </is>
      </c>
      <c r="B2" t="inlineStr">
        <is>
          <t>Benfica</t>
        </is>
      </c>
      <c r="C2" t="inlineStr">
        <is>
          <t>5-2-2-1</t>
        </is>
      </c>
      <c r="D2" t="inlineStr">
        <is>
          <t>GK</t>
        </is>
      </c>
      <c r="E2" t="inlineStr">
        <is>
          <t>A. Trubin</t>
        </is>
      </c>
      <c r="F2" t="inlineStr">
        <is>
          <t>GK</t>
        </is>
      </c>
      <c r="G2" t="inlineStr">
        <is>
          <t>GK</t>
        </is>
      </c>
      <c r="H2" t="n">
        <v>34</v>
      </c>
      <c r="I2" t="n">
        <v>0</v>
      </c>
      <c r="J2" t="n">
        <v>0</v>
      </c>
      <c r="K2" t="n">
        <v>6.74</v>
      </c>
    </row>
    <row r="3">
      <c r="A3" t="inlineStr">
        <is>
          <t>20261017-205523-3fa178c6</t>
        </is>
      </c>
      <c r="B3" t="inlineStr">
        <is>
          <t>Benfica</t>
        </is>
      </c>
      <c r="C3" t="inlineStr">
        <is>
          <t>5-2-2-1</t>
        </is>
      </c>
      <c r="D3" t="inlineStr">
        <is>
          <t>LCB</t>
        </is>
      </c>
      <c r="E3" t="inlineStr">
        <is>
          <t>C. Lenglet</t>
        </is>
      </c>
      <c r="F3" t="inlineStr">
        <is>
          <t>CB</t>
        </is>
      </c>
      <c r="G3" t="inlineStr">
        <is>
          <t>Balanced</t>
        </is>
      </c>
      <c r="H3" t="n">
        <v>34</v>
      </c>
      <c r="I3" t="n">
        <v>0</v>
      </c>
      <c r="J3" t="n">
        <v>1</v>
      </c>
      <c r="K3" t="n">
        <v>6.66</v>
      </c>
    </row>
    <row r="4">
      <c r="A4" t="inlineStr">
        <is>
          <t>20261017-205523-3fa178c6</t>
        </is>
      </c>
      <c r="B4" t="inlineStr">
        <is>
          <t>Benfica</t>
        </is>
      </c>
      <c r="C4" t="inlineStr">
        <is>
          <t>5-2-2-1</t>
        </is>
      </c>
      <c r="D4" t="inlineStr">
        <is>
          <t>CB</t>
        </is>
      </c>
      <c r="E4" t="inlineStr">
        <is>
          <t>A. Circati</t>
        </is>
      </c>
      <c r="F4" t="inlineStr">
        <is>
          <t>CB</t>
        </is>
      </c>
      <c r="G4" t="inlineStr">
        <is>
          <t>Balanced</t>
        </is>
      </c>
      <c r="H4" t="n">
        <v>34</v>
      </c>
      <c r="I4" t="n">
        <v>0</v>
      </c>
      <c r="J4" t="n">
        <v>0</v>
      </c>
      <c r="K4" t="n">
        <v>6.59</v>
      </c>
    </row>
    <row r="5">
      <c r="A5" t="inlineStr">
        <is>
          <t>20261017-205523-3fa178c6</t>
        </is>
      </c>
      <c r="B5" t="inlineStr">
        <is>
          <t>Benfica</t>
        </is>
      </c>
      <c r="C5" t="inlineStr">
        <is>
          <t>5-2-2-1</t>
        </is>
      </c>
      <c r="D5" t="inlineStr">
        <is>
          <t>RCB</t>
        </is>
      </c>
      <c r="E5" t="inlineStr">
        <is>
          <t>Tomás Araújo</t>
        </is>
      </c>
      <c r="F5" t="inlineStr">
        <is>
          <t>CB</t>
        </is>
      </c>
      <c r="G5" t="inlineStr">
        <is>
          <t>Balanced</t>
        </is>
      </c>
      <c r="H5" t="n">
        <v>34</v>
      </c>
      <c r="I5" t="n">
        <v>0</v>
      </c>
      <c r="J5" t="n">
        <v>3</v>
      </c>
      <c r="K5" t="n">
        <v>6.81</v>
      </c>
    </row>
    <row r="6">
      <c r="A6" t="inlineStr">
        <is>
          <t>20261017-205523-3fa178c6</t>
        </is>
      </c>
      <c r="B6" t="inlineStr">
        <is>
          <t>Benfica</t>
        </is>
      </c>
      <c r="C6" t="inlineStr">
        <is>
          <t>5-2-2-1</t>
        </is>
      </c>
      <c r="D6" t="inlineStr">
        <is>
          <t>LWB</t>
        </is>
      </c>
      <c r="E6" t="inlineStr">
        <is>
          <t>S. El Karouani</t>
        </is>
      </c>
      <c r="F6" t="inlineStr">
        <is>
          <t>FB &amp; WB</t>
        </is>
      </c>
      <c r="G6" t="inlineStr">
        <is>
          <t>Balanced</t>
        </is>
      </c>
      <c r="H6" t="n">
        <v>34</v>
      </c>
      <c r="I6" t="n">
        <v>3</v>
      </c>
      <c r="J6" t="n">
        <v>6</v>
      </c>
      <c r="K6" t="n">
        <v>6.72</v>
      </c>
    </row>
    <row r="7">
      <c r="A7" t="inlineStr">
        <is>
          <t>20261017-205523-3fa178c6</t>
        </is>
      </c>
      <c r="B7" t="inlineStr">
        <is>
          <t>Benfica</t>
        </is>
      </c>
      <c r="C7" t="inlineStr">
        <is>
          <t>5-2-2-1</t>
        </is>
      </c>
      <c r="D7" t="inlineStr">
        <is>
          <t>RWB</t>
        </is>
      </c>
      <c r="E7" t="inlineStr">
        <is>
          <t>A. Bah</t>
        </is>
      </c>
      <c r="F7" t="inlineStr">
        <is>
          <t>FB &amp; WB</t>
        </is>
      </c>
      <c r="G7" t="inlineStr">
        <is>
          <t>Balanced</t>
        </is>
      </c>
      <c r="H7" t="n">
        <v>34</v>
      </c>
      <c r="I7" t="n">
        <v>1</v>
      </c>
      <c r="J7" t="n">
        <v>4</v>
      </c>
      <c r="K7" t="n">
        <v>7</v>
      </c>
    </row>
    <row r="8">
      <c r="A8" t="inlineStr">
        <is>
          <t>20261017-205523-3fa178c6</t>
        </is>
      </c>
      <c r="B8" t="inlineStr">
        <is>
          <t>Benfica</t>
        </is>
      </c>
      <c r="C8" t="inlineStr">
        <is>
          <t>5-2-2-1</t>
        </is>
      </c>
      <c r="D8" t="inlineStr">
        <is>
          <t>LCM</t>
        </is>
      </c>
      <c r="E8" t="inlineStr">
        <is>
          <t>João Palhinha</t>
        </is>
      </c>
      <c r="F8" t="inlineStr">
        <is>
          <t>MF</t>
        </is>
      </c>
      <c r="G8" t="inlineStr">
        <is>
          <t>Balanced</t>
        </is>
      </c>
      <c r="H8" t="n">
        <v>30</v>
      </c>
      <c r="I8" t="n">
        <v>2</v>
      </c>
      <c r="J8" t="n">
        <v>7</v>
      </c>
      <c r="K8" t="n">
        <v>6.89</v>
      </c>
    </row>
    <row r="9">
      <c r="A9" t="inlineStr">
        <is>
          <t>20261017-205523-3fa178c6</t>
        </is>
      </c>
      <c r="B9" t="inlineStr">
        <is>
          <t>Benfica</t>
        </is>
      </c>
      <c r="C9" t="inlineStr">
        <is>
          <t>5-2-2-1</t>
        </is>
      </c>
      <c r="D9" t="inlineStr">
        <is>
          <t>RCM</t>
        </is>
      </c>
      <c r="E9" t="inlineStr">
        <is>
          <t>F. Aursnes</t>
        </is>
      </c>
      <c r="F9" t="inlineStr">
        <is>
          <t>MF</t>
        </is>
      </c>
      <c r="G9" t="inlineStr">
        <is>
          <t>Balanced</t>
        </is>
      </c>
      <c r="H9" t="n">
        <v>34</v>
      </c>
      <c r="I9" t="n">
        <v>6</v>
      </c>
      <c r="J9" t="n">
        <v>6</v>
      </c>
      <c r="K9" t="n">
        <v>7.01</v>
      </c>
    </row>
    <row r="10">
      <c r="A10" t="inlineStr">
        <is>
          <t>20261017-205523-3fa178c6</t>
        </is>
      </c>
      <c r="B10" t="inlineStr">
        <is>
          <t>Benfica</t>
        </is>
      </c>
      <c r="C10" t="inlineStr">
        <is>
          <t>5-2-2-1</t>
        </is>
      </c>
      <c r="D10" t="inlineStr">
        <is>
          <t>LAM</t>
        </is>
      </c>
      <c r="E10" t="inlineStr">
        <is>
          <t>G. Prestianni</t>
        </is>
      </c>
      <c r="F10" t="inlineStr">
        <is>
          <t>AM &amp; W</t>
        </is>
      </c>
      <c r="G10" t="inlineStr">
        <is>
          <t>Balanced</t>
        </is>
      </c>
      <c r="H10" t="n">
        <v>34</v>
      </c>
      <c r="I10" t="n">
        <v>12</v>
      </c>
      <c r="J10" t="n">
        <v>6</v>
      </c>
      <c r="K10" t="n">
        <v>7.37</v>
      </c>
    </row>
    <row r="11">
      <c r="A11" t="inlineStr">
        <is>
          <t>20261017-205523-3fa178c6</t>
        </is>
      </c>
      <c r="B11" t="inlineStr">
        <is>
          <t>Benfica</t>
        </is>
      </c>
      <c r="C11" t="inlineStr">
        <is>
          <t>5-2-2-1</t>
        </is>
      </c>
      <c r="D11" t="inlineStr">
        <is>
          <t>RAM</t>
        </is>
      </c>
      <c r="E11" t="inlineStr">
        <is>
          <t>A. Schjelderup</t>
        </is>
      </c>
      <c r="F11" t="inlineStr">
        <is>
          <t>AM &amp; W</t>
        </is>
      </c>
      <c r="G11" t="inlineStr">
        <is>
          <t>Balanced</t>
        </is>
      </c>
      <c r="H11" t="n">
        <v>34</v>
      </c>
      <c r="I11" t="n">
        <v>12</v>
      </c>
      <c r="J11" t="n">
        <v>5</v>
      </c>
      <c r="K11" t="n">
        <v>7.13</v>
      </c>
    </row>
    <row r="12">
      <c r="A12" t="inlineStr">
        <is>
          <t>20261017-205523-3fa178c6</t>
        </is>
      </c>
      <c r="B12" t="inlineStr">
        <is>
          <t>Benfica</t>
        </is>
      </c>
      <c r="C12" t="inlineStr">
        <is>
          <t>5-2-2-1</t>
        </is>
      </c>
      <c r="D12" t="inlineStr">
        <is>
          <t>ST</t>
        </is>
      </c>
      <c r="E12" t="inlineStr">
        <is>
          <t>V. Pavlidis</t>
        </is>
      </c>
      <c r="F12" t="inlineStr">
        <is>
          <t>CF</t>
        </is>
      </c>
      <c r="G12" t="inlineStr">
        <is>
          <t>Balanced</t>
        </is>
      </c>
      <c r="H12" t="n">
        <v>34</v>
      </c>
      <c r="I12" t="n">
        <v>18</v>
      </c>
      <c r="J12" t="n">
        <v>1</v>
      </c>
      <c r="K12" t="n">
        <v>7.23</v>
      </c>
    </row>
  </sheetData>
  <autoFilter ref="A1:K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 ht="34" customHeight="1">
      <c r="A1" s="6" t="inlineStr">
        <is>
          <t>Season ID</t>
        </is>
      </c>
      <c r="B1" s="6" t="inlineStr">
        <is>
          <t>Pos</t>
        </is>
      </c>
      <c r="C1" s="6" t="inlineStr">
        <is>
          <t>Team</t>
        </is>
      </c>
      <c r="D1" s="6" t="inlineStr">
        <is>
          <t>P</t>
        </is>
      </c>
      <c r="E1" s="6" t="inlineStr">
        <is>
          <t>W</t>
        </is>
      </c>
      <c r="F1" s="6" t="inlineStr">
        <is>
          <t>D</t>
        </is>
      </c>
      <c r="G1" s="6" t="inlineStr">
        <is>
          <t>L</t>
        </is>
      </c>
      <c r="H1" s="6" t="inlineStr">
        <is>
          <t>GF</t>
        </is>
      </c>
      <c r="I1" s="6" t="inlineStr">
        <is>
          <t>GA</t>
        </is>
      </c>
      <c r="J1" s="6" t="inlineStr">
        <is>
          <t>GD</t>
        </is>
      </c>
      <c r="K1" s="6" t="inlineStr">
        <is>
          <t>Pts</t>
        </is>
      </c>
      <c r="L1" s="6" t="inlineStr">
        <is>
          <t>User club?</t>
        </is>
      </c>
    </row>
    <row r="2">
      <c r="A2" t="inlineStr">
        <is>
          <t>20261017-205523-3fa178c6</t>
        </is>
      </c>
      <c r="B2" t="n">
        <v>1</v>
      </c>
      <c r="C2" t="inlineStr">
        <is>
          <t>Sporting CP</t>
        </is>
      </c>
      <c r="D2" t="n">
        <v>34</v>
      </c>
      <c r="E2" t="n">
        <v>23</v>
      </c>
      <c r="F2" t="n">
        <v>6</v>
      </c>
      <c r="G2" t="n">
        <v>5</v>
      </c>
      <c r="H2" t="n">
        <v>68</v>
      </c>
      <c r="I2" t="n">
        <v>26</v>
      </c>
      <c r="J2" t="n">
        <v>42</v>
      </c>
      <c r="K2" t="n">
        <v>75</v>
      </c>
      <c r="L2" t="inlineStr">
        <is>
          <t>No</t>
        </is>
      </c>
    </row>
    <row r="3">
      <c r="A3" t="inlineStr">
        <is>
          <t>20261017-205523-3fa178c6</t>
        </is>
      </c>
      <c r="B3" t="n">
        <v>2</v>
      </c>
      <c r="C3" t="inlineStr">
        <is>
          <t>Benfica</t>
        </is>
      </c>
      <c r="D3" t="n">
        <v>34</v>
      </c>
      <c r="E3" t="n">
        <v>21</v>
      </c>
      <c r="F3" t="n">
        <v>8</v>
      </c>
      <c r="G3" t="n">
        <v>5</v>
      </c>
      <c r="H3" t="n">
        <v>64</v>
      </c>
      <c r="I3" t="n">
        <v>35</v>
      </c>
      <c r="J3" t="n">
        <v>29</v>
      </c>
      <c r="K3" t="n">
        <v>71</v>
      </c>
      <c r="L3" t="inlineStr">
        <is>
          <t>Yes</t>
        </is>
      </c>
    </row>
    <row r="4">
      <c r="A4" t="inlineStr">
        <is>
          <t>20261017-205523-3fa178c6</t>
        </is>
      </c>
      <c r="B4" t="n">
        <v>3</v>
      </c>
      <c r="C4" t="inlineStr">
        <is>
          <t>SC Braga</t>
        </is>
      </c>
      <c r="D4" t="n">
        <v>34</v>
      </c>
      <c r="E4" t="n">
        <v>19</v>
      </c>
      <c r="F4" t="n">
        <v>6</v>
      </c>
      <c r="G4" t="n">
        <v>9</v>
      </c>
      <c r="H4" t="n">
        <v>56</v>
      </c>
      <c r="I4" t="n">
        <v>35</v>
      </c>
      <c r="J4" t="n">
        <v>21</v>
      </c>
      <c r="K4" t="n">
        <v>63</v>
      </c>
      <c r="L4" t="inlineStr">
        <is>
          <t>No</t>
        </is>
      </c>
    </row>
    <row r="5">
      <c r="A5" t="inlineStr">
        <is>
          <t>20261017-205523-3fa178c6</t>
        </is>
      </c>
      <c r="B5" t="n">
        <v>4</v>
      </c>
      <c r="C5" t="inlineStr">
        <is>
          <t>Porto</t>
        </is>
      </c>
      <c r="D5" t="n">
        <v>35</v>
      </c>
      <c r="E5" t="n">
        <v>17</v>
      </c>
      <c r="F5" t="n">
        <v>10</v>
      </c>
      <c r="G5" t="n">
        <v>8</v>
      </c>
      <c r="H5" t="n">
        <v>47</v>
      </c>
      <c r="I5" t="n">
        <v>32</v>
      </c>
      <c r="J5" t="n">
        <v>15</v>
      </c>
      <c r="K5" t="n">
        <v>61</v>
      </c>
      <c r="L5" t="inlineStr">
        <is>
          <t>No</t>
        </is>
      </c>
    </row>
    <row r="6">
      <c r="A6" t="inlineStr">
        <is>
          <t>20261017-205523-3fa178c6</t>
        </is>
      </c>
      <c r="B6" t="n">
        <v>5</v>
      </c>
      <c r="C6" t="inlineStr">
        <is>
          <t>Gil Vicente</t>
        </is>
      </c>
      <c r="D6" t="n">
        <v>35</v>
      </c>
      <c r="E6" t="n">
        <v>16</v>
      </c>
      <c r="F6" t="n">
        <v>4</v>
      </c>
      <c r="G6" t="n">
        <v>15</v>
      </c>
      <c r="H6" t="n">
        <v>59</v>
      </c>
      <c r="I6" t="n">
        <v>48</v>
      </c>
      <c r="J6" t="n">
        <v>11</v>
      </c>
      <c r="K6" t="n">
        <v>52</v>
      </c>
      <c r="L6" t="inlineStr">
        <is>
          <t>No</t>
        </is>
      </c>
    </row>
    <row r="7">
      <c r="A7" t="inlineStr">
        <is>
          <t>20261017-205523-3fa178c6</t>
        </is>
      </c>
      <c r="B7" t="n">
        <v>6</v>
      </c>
      <c r="C7" t="inlineStr">
        <is>
          <t>Famalicão</t>
        </is>
      </c>
      <c r="D7" t="n">
        <v>34</v>
      </c>
      <c r="E7" t="n">
        <v>15</v>
      </c>
      <c r="F7" t="n">
        <v>6</v>
      </c>
      <c r="G7" t="n">
        <v>13</v>
      </c>
      <c r="H7" t="n">
        <v>49</v>
      </c>
      <c r="I7" t="n">
        <v>45</v>
      </c>
      <c r="J7" t="n">
        <v>4</v>
      </c>
      <c r="K7" t="n">
        <v>51</v>
      </c>
      <c r="L7" t="inlineStr">
        <is>
          <t>No</t>
        </is>
      </c>
    </row>
    <row r="8">
      <c r="A8" t="inlineStr">
        <is>
          <t>20261017-205523-3fa178c6</t>
        </is>
      </c>
      <c r="B8" t="n">
        <v>7</v>
      </c>
      <c r="C8" t="inlineStr">
        <is>
          <t>Santa Clara</t>
        </is>
      </c>
      <c r="D8" t="n">
        <v>34</v>
      </c>
      <c r="E8" t="n">
        <v>12</v>
      </c>
      <c r="F8" t="n">
        <v>12</v>
      </c>
      <c r="G8" t="n">
        <v>10</v>
      </c>
      <c r="H8" t="n">
        <v>35</v>
      </c>
      <c r="I8" t="n">
        <v>32</v>
      </c>
      <c r="J8" t="n">
        <v>3</v>
      </c>
      <c r="K8" t="n">
        <v>48</v>
      </c>
      <c r="L8" t="inlineStr">
        <is>
          <t>No</t>
        </is>
      </c>
    </row>
    <row r="9">
      <c r="A9" t="inlineStr">
        <is>
          <t>20261017-205523-3fa178c6</t>
        </is>
      </c>
      <c r="B9" t="n">
        <v>8</v>
      </c>
      <c r="C9" t="inlineStr">
        <is>
          <t>Estoril</t>
        </is>
      </c>
      <c r="D9" t="n">
        <v>35</v>
      </c>
      <c r="E9" t="n">
        <v>12</v>
      </c>
      <c r="F9" t="n">
        <v>11</v>
      </c>
      <c r="G9" t="n">
        <v>12</v>
      </c>
      <c r="H9" t="n">
        <v>42</v>
      </c>
      <c r="I9" t="n">
        <v>36</v>
      </c>
      <c r="J9" t="n">
        <v>6</v>
      </c>
      <c r="K9" t="n">
        <v>47</v>
      </c>
      <c r="L9" t="inlineStr">
        <is>
          <t>No</t>
        </is>
      </c>
    </row>
    <row r="10">
      <c r="A10" t="inlineStr">
        <is>
          <t>20261017-205523-3fa178c6</t>
        </is>
      </c>
      <c r="B10" t="n">
        <v>9</v>
      </c>
      <c r="C10" t="inlineStr">
        <is>
          <t>Estrela Amadora</t>
        </is>
      </c>
      <c r="D10" t="n">
        <v>34</v>
      </c>
      <c r="E10" t="n">
        <v>11</v>
      </c>
      <c r="F10" t="n">
        <v>13</v>
      </c>
      <c r="G10" t="n">
        <v>10</v>
      </c>
      <c r="H10" t="n">
        <v>39</v>
      </c>
      <c r="I10" t="n">
        <v>37</v>
      </c>
      <c r="J10" t="n">
        <v>2</v>
      </c>
      <c r="K10" t="n">
        <v>46</v>
      </c>
      <c r="L10" t="inlineStr">
        <is>
          <t>No</t>
        </is>
      </c>
    </row>
    <row r="11">
      <c r="A11" t="inlineStr">
        <is>
          <t>20261017-205523-3fa178c6</t>
        </is>
      </c>
      <c r="B11" t="n">
        <v>10</v>
      </c>
      <c r="C11" t="inlineStr">
        <is>
          <t>Arouca</t>
        </is>
      </c>
      <c r="D11" t="n">
        <v>35</v>
      </c>
      <c r="E11" t="n">
        <v>12</v>
      </c>
      <c r="F11" t="n">
        <v>9</v>
      </c>
      <c r="G11" t="n">
        <v>14</v>
      </c>
      <c r="H11" t="n">
        <v>32</v>
      </c>
      <c r="I11" t="n">
        <v>43</v>
      </c>
      <c r="J11" t="n">
        <v>-11</v>
      </c>
      <c r="K11" t="n">
        <v>45</v>
      </c>
      <c r="L11" t="inlineStr">
        <is>
          <t>No</t>
        </is>
      </c>
    </row>
    <row r="12">
      <c r="A12" t="inlineStr">
        <is>
          <t>20261017-205523-3fa178c6</t>
        </is>
      </c>
      <c r="B12" t="n">
        <v>11</v>
      </c>
      <c r="C12" t="inlineStr">
        <is>
          <t>Académico de Viseu F.C.</t>
        </is>
      </c>
      <c r="D12" t="n">
        <v>35</v>
      </c>
      <c r="E12" t="n">
        <v>10</v>
      </c>
      <c r="F12" t="n">
        <v>11</v>
      </c>
      <c r="G12" t="n">
        <v>14</v>
      </c>
      <c r="H12" t="n">
        <v>34</v>
      </c>
      <c r="I12" t="n">
        <v>56</v>
      </c>
      <c r="J12" t="n">
        <v>-22</v>
      </c>
      <c r="K12" t="n">
        <v>41</v>
      </c>
      <c r="L12" t="inlineStr">
        <is>
          <t>No</t>
        </is>
      </c>
    </row>
    <row r="13">
      <c r="A13" t="inlineStr">
        <is>
          <t>20261017-205523-3fa178c6</t>
        </is>
      </c>
      <c r="B13" t="n">
        <v>12</v>
      </c>
      <c r="C13" t="inlineStr">
        <is>
          <t>Alverca</t>
        </is>
      </c>
      <c r="D13" t="n">
        <v>35</v>
      </c>
      <c r="E13" t="n">
        <v>10</v>
      </c>
      <c r="F13" t="n">
        <v>10</v>
      </c>
      <c r="G13" t="n">
        <v>15</v>
      </c>
      <c r="H13" t="n">
        <v>33</v>
      </c>
      <c r="I13" t="n">
        <v>44</v>
      </c>
      <c r="J13" t="n">
        <v>-11</v>
      </c>
      <c r="K13" t="n">
        <v>40</v>
      </c>
      <c r="L13" t="inlineStr">
        <is>
          <t>No</t>
        </is>
      </c>
    </row>
    <row r="14">
      <c r="A14" t="inlineStr">
        <is>
          <t>20261017-205523-3fa178c6</t>
        </is>
      </c>
      <c r="B14" t="n">
        <v>13</v>
      </c>
      <c r="C14" t="inlineStr">
        <is>
          <t>Marítimo</t>
        </is>
      </c>
      <c r="D14" t="n">
        <v>35</v>
      </c>
      <c r="E14" t="n">
        <v>9</v>
      </c>
      <c r="F14" t="n">
        <v>12</v>
      </c>
      <c r="G14" t="n">
        <v>14</v>
      </c>
      <c r="H14" t="n">
        <v>40</v>
      </c>
      <c r="I14" t="n">
        <v>49</v>
      </c>
      <c r="J14" t="n">
        <v>-9</v>
      </c>
      <c r="K14" t="n">
        <v>39</v>
      </c>
      <c r="L14" t="inlineStr">
        <is>
          <t>No</t>
        </is>
      </c>
    </row>
    <row r="15">
      <c r="A15" t="inlineStr">
        <is>
          <t>20261017-205523-3fa178c6</t>
        </is>
      </c>
      <c r="B15" t="n">
        <v>14</v>
      </c>
      <c r="C15" t="inlineStr">
        <is>
          <t>Rio Ave</t>
        </is>
      </c>
      <c r="D15" t="n">
        <v>34</v>
      </c>
      <c r="E15" t="n">
        <v>10</v>
      </c>
      <c r="F15" t="n">
        <v>7</v>
      </c>
      <c r="G15" t="n">
        <v>17</v>
      </c>
      <c r="H15" t="n">
        <v>42</v>
      </c>
      <c r="I15" t="n">
        <v>56</v>
      </c>
      <c r="J15" t="n">
        <v>-14</v>
      </c>
      <c r="K15" t="n">
        <v>37</v>
      </c>
      <c r="L15" t="inlineStr">
        <is>
          <t>No</t>
        </is>
      </c>
    </row>
    <row r="16">
      <c r="A16" t="inlineStr">
        <is>
          <t>20261017-205523-3fa178c6</t>
        </is>
      </c>
      <c r="B16" t="n">
        <v>15</v>
      </c>
      <c r="C16" t="inlineStr">
        <is>
          <t>Casa Pia AC</t>
        </is>
      </c>
      <c r="D16" t="n">
        <v>35</v>
      </c>
      <c r="E16" t="n">
        <v>9</v>
      </c>
      <c r="F16" t="n">
        <v>9</v>
      </c>
      <c r="G16" t="n">
        <v>17</v>
      </c>
      <c r="H16" t="n">
        <v>30</v>
      </c>
      <c r="I16" t="n">
        <v>51</v>
      </c>
      <c r="J16" t="n">
        <v>-21</v>
      </c>
      <c r="K16" t="n">
        <v>36</v>
      </c>
      <c r="L16" t="inlineStr">
        <is>
          <t>No</t>
        </is>
      </c>
    </row>
    <row r="17">
      <c r="A17" t="inlineStr">
        <is>
          <t>20261017-205523-3fa178c6</t>
        </is>
      </c>
      <c r="B17" t="n">
        <v>16</v>
      </c>
      <c r="C17" t="inlineStr">
        <is>
          <t>Vitória SC</t>
        </is>
      </c>
      <c r="D17" t="n">
        <v>34</v>
      </c>
      <c r="E17" t="n">
        <v>9</v>
      </c>
      <c r="F17" t="n">
        <v>8</v>
      </c>
      <c r="G17" t="n">
        <v>17</v>
      </c>
      <c r="H17" t="n">
        <v>35</v>
      </c>
      <c r="I17" t="n">
        <v>47</v>
      </c>
      <c r="J17" t="n">
        <v>-12</v>
      </c>
      <c r="K17" t="n">
        <v>35</v>
      </c>
      <c r="L17" t="inlineStr">
        <is>
          <t>No</t>
        </is>
      </c>
    </row>
    <row r="18">
      <c r="A18" t="inlineStr">
        <is>
          <t>20261017-205523-3fa178c6</t>
        </is>
      </c>
      <c r="B18" t="n">
        <v>17</v>
      </c>
      <c r="C18" t="inlineStr">
        <is>
          <t>Nacional</t>
        </is>
      </c>
      <c r="D18" t="n">
        <v>35</v>
      </c>
      <c r="E18" t="n">
        <v>8</v>
      </c>
      <c r="F18" t="n">
        <v>10</v>
      </c>
      <c r="G18" t="n">
        <v>17</v>
      </c>
      <c r="H18" t="n">
        <v>23</v>
      </c>
      <c r="I18" t="n">
        <v>37</v>
      </c>
      <c r="J18" t="n">
        <v>-14</v>
      </c>
      <c r="K18" t="n">
        <v>34</v>
      </c>
      <c r="L18" t="inlineStr">
        <is>
          <t>No</t>
        </is>
      </c>
    </row>
    <row r="19">
      <c r="A19" t="inlineStr">
        <is>
          <t>20261017-205523-3fa178c6</t>
        </is>
      </c>
      <c r="B19" t="n">
        <v>18</v>
      </c>
      <c r="C19" t="inlineStr">
        <is>
          <t>Moreirense</t>
        </is>
      </c>
      <c r="D19" t="n">
        <v>35</v>
      </c>
      <c r="E19" t="n">
        <v>8</v>
      </c>
      <c r="F19" t="n">
        <v>8</v>
      </c>
      <c r="G19" t="n">
        <v>19</v>
      </c>
      <c r="H19" t="n">
        <v>33</v>
      </c>
      <c r="I19" t="n">
        <v>52</v>
      </c>
      <c r="J19" t="n">
        <v>-19</v>
      </c>
      <c r="K19" t="n">
        <v>32</v>
      </c>
      <c r="L19" t="inlineStr">
        <is>
          <t>No</t>
        </is>
      </c>
    </row>
  </sheetData>
  <autoFilter ref="A1: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2026-10-17T20:55:23Z</dcterms:created>
  <dcterms:modified xmlns:dcterms="http://purl.org/dc/terms/" xmlns:xsi="http://www.w3.org/2001/XMLSchema-instance" xsi:type="dcterms:W3CDTF">2026-10-17T20:55:23Z</dcterms:modified>
</cp:coreProperties>
</file>